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By Task Type" sheetId="2" state="visible" r:id="rId2"/>
    <sheet name="Customer Scenario" sheetId="3" state="visible" r:id="rId3"/>
    <sheet name="Approaches" sheetId="4" state="visible" r:id="rId4"/>
    <sheet name="Render Wins" sheetId="5" state="visible" r:id="rId5"/>
    <sheet name="Who W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$0.0000000"/>
    <numFmt numFmtId="166" formatCode="$#,##0.0000"/>
    <numFmt numFmtId="167" formatCode="0.0"/>
    <numFmt numFmtId="168" formatCode="0.0%"/>
    <numFmt numFmtId="169" formatCode="0.0&quot;x&quot;"/>
    <numFmt numFmtId="170" formatCode="0&quot; of 7&quot;"/>
  </numFmts>
  <fonts count="10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2F5496"/>
      <sz val="12"/>
    </font>
    <font>
      <b val="1"/>
      <color rgb="00FFFFFF"/>
      <sz val="11"/>
    </font>
    <font>
      <i val="1"/>
      <color rgb="00666666"/>
      <sz val="9"/>
    </font>
    <font>
      <b val="1"/>
      <sz val="10"/>
    </font>
    <font>
      <i val="1"/>
      <color rgb="00888888"/>
      <sz val="9"/>
    </font>
    <font>
      <b val="1"/>
    </font>
    <font>
      <b val="1"/>
      <sz val="9"/>
    </font>
    <font>
      <color rgb="00444444"/>
      <sz val="9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DAEEF3"/>
        <bgColor rgb="00DAEEF3"/>
      </patternFill>
    </fill>
    <fill>
      <patternFill patternType="solid">
        <fgColor rgb="00E8DAEF"/>
        <bgColor rgb="00E8DAEF"/>
      </patternFill>
    </fill>
    <fill>
      <patternFill patternType="solid">
        <fgColor rgb="00385723"/>
        <bgColor rgb="0038572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3" borderId="1" pivotButton="0" quotePrefix="0" xfId="0"/>
    <xf numFmtId="0" fontId="6" fillId="0" borderId="0" pivotButton="0" quotePrefix="0" xfId="0"/>
    <xf numFmtId="164" fontId="0" fillId="3" borderId="1" pivotButton="0" quotePrefix="0" xfId="0"/>
    <xf numFmtId="0" fontId="5" fillId="0" borderId="1" pivotButton="0" quotePrefix="0" xfId="0"/>
    <xf numFmtId="3" fontId="0" fillId="3" borderId="1" pivotButton="0" quotePrefix="0" xfId="0"/>
    <xf numFmtId="0" fontId="0" fillId="3" borderId="1" pivotButton="0" quotePrefix="0" xfId="0"/>
    <xf numFmtId="164" fontId="7" fillId="4" borderId="1" pivotButton="0" quotePrefix="0" xfId="0"/>
    <xf numFmtId="0" fontId="5" fillId="4" borderId="1" pivotButton="0" quotePrefix="0" xfId="0"/>
    <xf numFmtId="167" fontId="0" fillId="3" borderId="1" pivotButton="0" quotePrefix="0" xfId="0"/>
    <xf numFmtId="3" fontId="0" fillId="0" borderId="1" pivotButton="0" quotePrefix="0" xfId="0"/>
    <xf numFmtId="168" fontId="0" fillId="0" borderId="1" pivotButton="0" quotePrefix="0" xfId="0"/>
    <xf numFmtId="0" fontId="2" fillId="5" borderId="0" pivotButton="0" quotePrefix="0" xfId="0"/>
    <xf numFmtId="0" fontId="2" fillId="6" borderId="0" pivotButton="0" quotePrefix="0" xfId="0"/>
    <xf numFmtId="169" fontId="0" fillId="0" borderId="1" pivotButton="0" quotePrefix="0" xfId="0"/>
    <xf numFmtId="0" fontId="2" fillId="4" borderId="0" pivotButton="0" quotePrefix="0" xfId="0"/>
    <xf numFmtId="49" fontId="0" fillId="0" borderId="1" pivotButton="0" quotePrefix="0" xfId="0"/>
    <xf numFmtId="0" fontId="2" fillId="7" borderId="0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8" fontId="0" fillId="0" borderId="1" applyAlignment="1" pivotButton="0" quotePrefix="0" xfId="0">
      <alignment wrapText="1"/>
    </xf>
    <xf numFmtId="169" fontId="0" fillId="3" borderId="1" pivotButton="0" quotePrefix="0" xfId="0"/>
    <xf numFmtId="0" fontId="3" fillId="8" borderId="1" applyAlignment="1" pivotButton="0" quotePrefix="0" xfId="0">
      <alignment horizontal="center" wrapText="1"/>
    </xf>
    <xf numFmtId="0" fontId="0" fillId="6" borderId="1" pivotButton="0" quotePrefix="0" xfId="0"/>
    <xf numFmtId="3" fontId="7" fillId="4" borderId="1" pivotButton="0" quotePrefix="0" xfId="0"/>
    <xf numFmtId="0" fontId="0" fillId="9" borderId="1" pivotButton="0" quotePrefix="0" xfId="0"/>
    <xf numFmtId="0" fontId="0" fillId="7" borderId="1" pivotButton="0" quotePrefix="0" xfId="0"/>
    <xf numFmtId="170" fontId="7" fillId="4" borderId="1" pivotButton="0" quotePrefix="0" xfId="0"/>
    <xf numFmtId="170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4" borderId="1" pivotButton="0" quotePrefix="0" xfId="0"/>
    <xf numFmtId="0" fontId="7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6" customWidth="1" min="5" max="5"/>
    <col width="18" customWidth="1" min="6" max="6"/>
  </cols>
  <sheetData>
    <row r="1">
      <c r="A1" s="1" t="inlineStr">
        <is>
          <t>Compute Rates Reference</t>
        </is>
      </c>
    </row>
    <row r="3">
      <c r="A3" s="2" t="inlineStr">
        <is>
          <t>Render Workflows</t>
        </is>
      </c>
    </row>
    <row r="4">
      <c r="A4" s="3" t="inlineStr">
        <is>
          <t>Tier</t>
        </is>
      </c>
      <c r="B4" s="3" t="inlineStr">
        <is>
          <t>CPU</t>
        </is>
      </c>
      <c r="C4" s="3" t="inlineStr">
        <is>
          <t>Memory</t>
        </is>
      </c>
      <c r="D4" s="3" t="inlineStr">
        <is>
          <t>$/hour</t>
        </is>
      </c>
      <c r="E4" s="3" t="inlineStr">
        <is>
          <t>$/second</t>
        </is>
      </c>
      <c r="F4" s="3" t="inlineStr">
        <is>
          <t>$/second (formula)</t>
        </is>
      </c>
    </row>
    <row r="5">
      <c r="A5" s="4" t="inlineStr">
        <is>
          <t>Starter</t>
        </is>
      </c>
      <c r="B5" s="4" t="n">
        <v>0.5</v>
      </c>
      <c r="C5" s="4" t="inlineStr">
        <is>
          <t>512 MB</t>
        </is>
      </c>
      <c r="D5" s="5" t="n">
        <v>0.05</v>
      </c>
      <c r="E5" s="6" t="n">
        <v>1.388888888888889e-05</v>
      </c>
      <c r="F5" s="6">
        <f>D5/3600</f>
        <v/>
      </c>
    </row>
    <row r="6">
      <c r="A6" s="4" t="inlineStr">
        <is>
          <t>Standard</t>
        </is>
      </c>
      <c r="B6" s="4" t="n">
        <v>1</v>
      </c>
      <c r="C6" s="4" t="inlineStr">
        <is>
          <t>2 GB</t>
        </is>
      </c>
      <c r="D6" s="5" t="n">
        <v>0.2</v>
      </c>
      <c r="E6" s="6" t="n">
        <v>5.555555555555556e-05</v>
      </c>
      <c r="F6" s="6">
        <f>D6/3600</f>
        <v/>
      </c>
    </row>
    <row r="7">
      <c r="A7" s="4" t="inlineStr">
        <is>
          <t>Pro</t>
        </is>
      </c>
      <c r="B7" s="4" t="n">
        <v>2</v>
      </c>
      <c r="C7" s="4" t="inlineStr">
        <is>
          <t>4 GB</t>
        </is>
      </c>
      <c r="D7" s="5" t="n">
        <v>0.4</v>
      </c>
      <c r="E7" s="6" t="n">
        <v>0.0001111111111111111</v>
      </c>
      <c r="F7" s="6">
        <f>D7/3600</f>
        <v/>
      </c>
    </row>
    <row r="8">
      <c r="A8" s="4" t="inlineStr">
        <is>
          <t>Pro Plus</t>
        </is>
      </c>
      <c r="B8" s="4" t="n">
        <v>4</v>
      </c>
      <c r="C8" s="4" t="inlineStr">
        <is>
          <t>8 GB</t>
        </is>
      </c>
      <c r="D8" s="5" t="n">
        <v>1</v>
      </c>
      <c r="E8" s="6" t="n">
        <v>0.0002777777777777778</v>
      </c>
      <c r="F8" s="6">
        <f>D8/3600</f>
        <v/>
      </c>
    </row>
    <row r="9">
      <c r="A9" s="4" t="inlineStr">
        <is>
          <t>Pro Max</t>
        </is>
      </c>
      <c r="B9" s="4" t="n">
        <v>4</v>
      </c>
      <c r="C9" s="4" t="inlineStr">
        <is>
          <t>16 GB</t>
        </is>
      </c>
      <c r="D9" s="5" t="n">
        <v>2</v>
      </c>
      <c r="E9" s="6" t="n">
        <v>0.0005555555555555556</v>
      </c>
      <c r="F9" s="6">
        <f>D9/3600</f>
        <v/>
      </c>
    </row>
    <row r="10">
      <c r="A10" s="4" t="inlineStr">
        <is>
          <t>Pro Ultra</t>
        </is>
      </c>
      <c r="B10" s="4" t="n">
        <v>8</v>
      </c>
      <c r="C10" s="4" t="inlineStr">
        <is>
          <t>32 GB</t>
        </is>
      </c>
      <c r="D10" s="5" t="n">
        <v>7</v>
      </c>
      <c r="E10" s="6" t="n">
        <v>0.001944444444444444</v>
      </c>
      <c r="F10" s="6">
        <f>D10/3600</f>
        <v/>
      </c>
    </row>
    <row r="12">
      <c r="A12" s="2" t="inlineStr">
        <is>
          <t>Trigger.dev</t>
        </is>
      </c>
    </row>
    <row r="13">
      <c r="A13" s="3" t="inlineStr">
        <is>
          <t>Tier</t>
        </is>
      </c>
      <c r="B13" s="3" t="inlineStr">
        <is>
          <t>CPU</t>
        </is>
      </c>
      <c r="C13" s="3" t="inlineStr">
        <is>
          <t>Memory</t>
        </is>
      </c>
      <c r="D13" s="3" t="inlineStr">
        <is>
          <t>$/second</t>
        </is>
      </c>
      <c r="E13" s="3" t="inlineStr">
        <is>
          <t>Invocation $/run</t>
        </is>
      </c>
      <c r="F13" t="inlineStr"/>
    </row>
    <row r="14">
      <c r="A14" s="4" t="inlineStr">
        <is>
          <t>Micro</t>
        </is>
      </c>
      <c r="B14" s="4" t="n">
        <v>0.25</v>
      </c>
      <c r="C14" s="4" t="inlineStr">
        <is>
          <t>0.25 GB</t>
        </is>
      </c>
      <c r="D14" s="6" t="n">
        <v>1.69e-05</v>
      </c>
      <c r="E14" s="6" t="n">
        <v>2.5e-05</v>
      </c>
    </row>
    <row r="15">
      <c r="A15" s="4" t="inlineStr">
        <is>
          <t>Small 1x</t>
        </is>
      </c>
      <c r="B15" s="4" t="n">
        <v>0.5</v>
      </c>
      <c r="C15" s="4" t="inlineStr">
        <is>
          <t>0.5 GB</t>
        </is>
      </c>
      <c r="D15" s="6" t="n">
        <v>3.38e-05</v>
      </c>
      <c r="E15" s="6" t="n">
        <v>2.5e-05</v>
      </c>
    </row>
    <row r="16">
      <c r="A16" s="4" t="inlineStr">
        <is>
          <t>Small 2x</t>
        </is>
      </c>
      <c r="B16" s="4" t="n">
        <v>1</v>
      </c>
      <c r="C16" s="4" t="inlineStr">
        <is>
          <t>1 GB</t>
        </is>
      </c>
      <c r="D16" s="6" t="n">
        <v>6.75e-05</v>
      </c>
      <c r="E16" s="6" t="n">
        <v>2.5e-05</v>
      </c>
    </row>
    <row r="17">
      <c r="A17" s="4" t="inlineStr">
        <is>
          <t>Medium 1x</t>
        </is>
      </c>
      <c r="B17" s="4" t="n">
        <v>1</v>
      </c>
      <c r="C17" s="4" t="inlineStr">
        <is>
          <t>2 GB</t>
        </is>
      </c>
      <c r="D17" s="6" t="n">
        <v>8.500000000000001e-05</v>
      </c>
      <c r="E17" s="6" t="n">
        <v>2.5e-05</v>
      </c>
    </row>
    <row r="18">
      <c r="A18" s="4" t="inlineStr">
        <is>
          <t>Medium 2x</t>
        </is>
      </c>
      <c r="B18" s="4" t="n">
        <v>2</v>
      </c>
      <c r="C18" s="4" t="inlineStr">
        <is>
          <t>4 GB</t>
        </is>
      </c>
      <c r="D18" s="6" t="n">
        <v>0.00017</v>
      </c>
      <c r="E18" s="6" t="n">
        <v>2.5e-05</v>
      </c>
    </row>
    <row r="19">
      <c r="A19" s="4" t="inlineStr">
        <is>
          <t>Large 1x</t>
        </is>
      </c>
      <c r="B19" s="4" t="n">
        <v>4</v>
      </c>
      <c r="C19" s="4" t="inlineStr">
        <is>
          <t>8 GB</t>
        </is>
      </c>
      <c r="D19" s="6" t="n">
        <v>0.00034</v>
      </c>
      <c r="E19" s="6" t="n">
        <v>2.5e-05</v>
      </c>
    </row>
    <row r="20">
      <c r="A20" s="4" t="inlineStr">
        <is>
          <t>Large 2x</t>
        </is>
      </c>
      <c r="B20" s="4" t="n">
        <v>8</v>
      </c>
      <c r="C20" s="4" t="inlineStr">
        <is>
          <t>16 GB</t>
        </is>
      </c>
      <c r="D20" s="6" t="n">
        <v>0.00068</v>
      </c>
      <c r="E20" s="6" t="n">
        <v>2.5e-05</v>
      </c>
    </row>
    <row r="22">
      <c r="A22" s="2" t="inlineStr">
        <is>
          <t>Background Workers (Render)</t>
        </is>
      </c>
    </row>
    <row r="23">
      <c r="A23" s="3" t="inlineStr">
        <is>
          <t>Tier</t>
        </is>
      </c>
      <c r="B23" s="3" t="inlineStr">
        <is>
          <t>CPU</t>
        </is>
      </c>
      <c r="C23" s="3" t="inlineStr">
        <is>
          <t>Memory</t>
        </is>
      </c>
      <c r="D23" s="3" t="inlineStr">
        <is>
          <t>$/month</t>
        </is>
      </c>
      <c r="E23" s="3" t="inlineStr">
        <is>
          <t>$/hour</t>
        </is>
      </c>
      <c r="F23" s="3" t="inlineStr">
        <is>
          <t>$/second (= $/month ÷ 730hrs ÷ 3600s)</t>
        </is>
      </c>
    </row>
    <row r="24">
      <c r="A24" s="4" t="inlineStr">
        <is>
          <t>Starter</t>
        </is>
      </c>
      <c r="B24" s="4" t="n">
        <v>0.5</v>
      </c>
      <c r="C24" s="4" t="inlineStr">
        <is>
          <t>512 MB</t>
        </is>
      </c>
      <c r="D24" s="5" t="n">
        <v>7</v>
      </c>
      <c r="E24" s="7">
        <f>D24/730</f>
        <v/>
      </c>
      <c r="F24" s="6">
        <f>D24/730/3600</f>
        <v/>
      </c>
    </row>
    <row r="25">
      <c r="A25" s="4" t="inlineStr">
        <is>
          <t>Standard</t>
        </is>
      </c>
      <c r="B25" s="4" t="n">
        <v>1</v>
      </c>
      <c r="C25" s="4" t="inlineStr">
        <is>
          <t>2 GB</t>
        </is>
      </c>
      <c r="D25" s="5" t="n">
        <v>25</v>
      </c>
      <c r="E25" s="7">
        <f>D25/730</f>
        <v/>
      </c>
      <c r="F25" s="6">
        <f>D25/730/3600</f>
        <v/>
      </c>
    </row>
    <row r="26">
      <c r="A26" s="4" t="inlineStr">
        <is>
          <t>Pro</t>
        </is>
      </c>
      <c r="B26" s="4" t="n">
        <v>2</v>
      </c>
      <c r="C26" s="4" t="inlineStr">
        <is>
          <t>4 GB</t>
        </is>
      </c>
      <c r="D26" s="5" t="n">
        <v>85</v>
      </c>
      <c r="E26" s="7">
        <f>D26/730</f>
        <v/>
      </c>
      <c r="F26" s="6">
        <f>D26/730/3600</f>
        <v/>
      </c>
    </row>
    <row r="27">
      <c r="A27" s="4" t="inlineStr">
        <is>
          <t>Pro Plus</t>
        </is>
      </c>
      <c r="B27" s="4" t="n">
        <v>4</v>
      </c>
      <c r="C27" s="4" t="inlineStr">
        <is>
          <t>8 GB</t>
        </is>
      </c>
      <c r="D27" s="5" t="n">
        <v>175</v>
      </c>
      <c r="E27" s="7">
        <f>D27/730</f>
        <v/>
      </c>
      <c r="F27" s="6">
        <f>D27/730/3600</f>
        <v/>
      </c>
    </row>
    <row r="28">
      <c r="A28" s="4" t="inlineStr">
        <is>
          <t>Pro Max</t>
        </is>
      </c>
      <c r="B28" s="4" t="n">
        <v>4</v>
      </c>
      <c r="C28" s="4" t="inlineStr">
        <is>
          <t>16 GB</t>
        </is>
      </c>
      <c r="D28" s="5" t="n">
        <v>225</v>
      </c>
      <c r="E28" s="7">
        <f>D28/730</f>
        <v/>
      </c>
      <c r="F28" s="6">
        <f>D28/730/3600</f>
        <v/>
      </c>
    </row>
    <row r="29">
      <c r="A29" s="4" t="inlineStr">
        <is>
          <t>Pro Ultra</t>
        </is>
      </c>
      <c r="B29" s="4" t="n">
        <v>8</v>
      </c>
      <c r="C29" s="4" t="inlineStr">
        <is>
          <t>32 GB</t>
        </is>
      </c>
      <c r="D29" s="5" t="n">
        <v>450</v>
      </c>
      <c r="E29" s="7">
        <f>D29/730</f>
        <v/>
      </c>
      <c r="F29" s="6">
        <f>D29/730/3600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7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  <col width="22" customWidth="1" min="13" max="13"/>
  </cols>
  <sheetData>
    <row r="1">
      <c r="A1" s="1" t="inlineStr">
        <is>
          <t>Cost by Task Type — Workflows Today vs After Each Project</t>
        </is>
      </c>
    </row>
    <row r="2">
      <c r="A2" s="8" t="inlineStr">
        <is>
          <t>Yellow cells are inputs. Shows Workflows cost at each project stage vs Trigger.dev and BG Worker.</t>
        </is>
      </c>
    </row>
    <row r="4">
      <c r="A4" s="9" t="inlineStr">
        <is>
          <t>Workflows $/second</t>
        </is>
      </c>
      <c r="B4" s="10" t="n">
        <v>5.56e-05</v>
      </c>
      <c r="C4" s="11" t="inlineStr">
        <is>
          <t>(Standard: 1 CPU, 2 GB)</t>
        </is>
      </c>
    </row>
    <row r="5">
      <c r="A5" s="9" t="inlineStr">
        <is>
          <t>Trigger.dev $/second</t>
        </is>
      </c>
      <c r="B5" s="10" t="n">
        <v>8.500000000000001e-05</v>
      </c>
      <c r="C5" s="11" t="inlineStr">
        <is>
          <t>(Medium 1x — has active compute + waitpoints)</t>
        </is>
      </c>
    </row>
    <row r="6">
      <c r="A6" s="9" t="inlineStr">
        <is>
          <t>Trigger.dev invocation $/run</t>
        </is>
      </c>
      <c r="B6" s="10" t="n">
        <v>2.5e-05</v>
      </c>
    </row>
    <row r="7">
      <c r="A7" s="9" t="inlineStr">
        <is>
          <t>BG Worker $/month</t>
        </is>
      </c>
      <c r="B7" s="12" t="n">
        <v>85</v>
      </c>
      <c r="C7" s="11" t="inlineStr">
        <is>
          <t>(Pro: 2 CPU, 4 GB — 1 instance, 2 subprocess workers)</t>
        </is>
      </c>
    </row>
    <row r="9">
      <c r="A9" s="3" t="inlineStr">
        <is>
          <t>Task Type</t>
        </is>
      </c>
      <c r="B9" s="3" t="inlineStr">
        <is>
          <t>Monthly
Volume</t>
        </is>
      </c>
      <c r="C9" s="3" t="inlineStr">
        <is>
          <t>Wall-Clock
(s)</t>
        </is>
      </c>
      <c r="D9" s="3" t="inlineStr">
        <is>
          <t>Active
Compute (s)</t>
        </is>
      </c>
      <c r="E9" s="3" t="inlineStr">
        <is>
          <t>Waitpoint
Compute (s)</t>
        </is>
      </c>
      <c r="F9" s="3" t="inlineStr">
        <is>
          <t>Runs/
Req</t>
        </is>
      </c>
      <c r="G9" s="3" t="inlineStr">
        <is>
          <t>Workflows
TODAY</t>
        </is>
      </c>
      <c r="H9" s="3" t="inlineStr">
        <is>
          <t>After P1:
No Parent
Billing</t>
        </is>
      </c>
      <c r="I9" s="3" t="inlineStr">
        <is>
          <t>After P2:
Active
Compute</t>
        </is>
      </c>
      <c r="J9" s="3" t="inlineStr">
        <is>
          <t>After P3:
Waitpoints</t>
        </is>
      </c>
      <c r="K9" s="3" t="inlineStr">
        <is>
          <t>Trigger.dev</t>
        </is>
      </c>
      <c r="L9" s="3" t="inlineStr">
        <is>
          <t>BG Worker</t>
        </is>
      </c>
      <c r="M9" s="3" t="inlineStr">
        <is>
          <t>Workflows
Wins After</t>
        </is>
      </c>
    </row>
    <row r="10">
      <c r="A10" s="13" t="inlineStr">
        <is>
          <t>Simple compute</t>
        </is>
      </c>
      <c r="B10" s="14" t="n">
        <v>500000</v>
      </c>
      <c r="C10" s="15" t="n">
        <v>1</v>
      </c>
      <c r="D10" s="15" t="n">
        <v>1</v>
      </c>
      <c r="E10" s="15" t="n">
        <v>1</v>
      </c>
      <c r="F10" s="15" t="n">
        <v>1</v>
      </c>
      <c r="G10" s="16">
        <f>B10*C10*$B$4</f>
        <v/>
      </c>
      <c r="H10" s="16">
        <f>IF(F10=1,G10,B10*(D10+(C10-D10)*(F10-1)/F10)*$B$4)</f>
        <v/>
      </c>
      <c r="I10" s="16">
        <f>B10*D10*$B$4</f>
        <v/>
      </c>
      <c r="J10" s="16">
        <f>B10*E10*$B$4</f>
        <v/>
      </c>
      <c r="K10" s="16">
        <f>B10*E10*$B$5+B10*F10*$B$6</f>
        <v/>
      </c>
      <c r="L10" s="16">
        <f>$B$7</f>
        <v/>
      </c>
      <c r="M10" s="17">
        <f>IF(AND(G10&lt;=K10,G10&lt;=L10),"Already wins",IF(AND(H10&lt;=K10,H10&lt;=L10),"P1: No parent billing",IF(AND(I10&lt;=K10,I10&lt;=L10),"P2: Active compute",IF(AND(J10&lt;=K10,J10&lt;=L10),"P3: Waitpoints","Cannot win"))))</f>
        <v/>
      </c>
    </row>
    <row r="11">
      <c r="A11" s="13" t="inlineStr">
        <is>
          <t>Image processing</t>
        </is>
      </c>
      <c r="B11" s="14" t="n">
        <v>200000</v>
      </c>
      <c r="C11" s="15" t="n">
        <v>5</v>
      </c>
      <c r="D11" s="15" t="n">
        <v>5</v>
      </c>
      <c r="E11" s="15" t="n">
        <v>5</v>
      </c>
      <c r="F11" s="15" t="n">
        <v>1</v>
      </c>
      <c r="G11" s="16">
        <f>B11*C11*$B$4</f>
        <v/>
      </c>
      <c r="H11" s="16">
        <f>IF(F11=1,G11,B11*(D11+(C11-D11)*(F11-1)/F11)*$B$4)</f>
        <v/>
      </c>
      <c r="I11" s="16">
        <f>B11*D11*$B$4</f>
        <v/>
      </c>
      <c r="J11" s="16">
        <f>B11*E11*$B$4</f>
        <v/>
      </c>
      <c r="K11" s="16">
        <f>B11*E11*$B$5+B11*F11*$B$6</f>
        <v/>
      </c>
      <c r="L11" s="16">
        <f>$B$7</f>
        <v/>
      </c>
      <c r="M11" s="17">
        <f>IF(AND(G11&lt;=K11,G11&lt;=L11),"Already wins",IF(AND(H11&lt;=K11,H11&lt;=L11),"P1: No parent billing",IF(AND(I11&lt;=K11,I11&lt;=L11),"P2: Active compute",IF(AND(J11&lt;=K11,J11&lt;=L11),"P3: Waitpoints","Cannot win"))))</f>
        <v/>
      </c>
    </row>
    <row r="12">
      <c r="A12" s="13" t="inlineStr">
        <is>
          <t>Single LLM call</t>
        </is>
      </c>
      <c r="B12" s="14" t="n">
        <v>300000</v>
      </c>
      <c r="C12" s="15" t="n">
        <v>8</v>
      </c>
      <c r="D12" s="15" t="n">
        <v>0.5</v>
      </c>
      <c r="E12" s="15" t="n">
        <v>0.3</v>
      </c>
      <c r="F12" s="15" t="n">
        <v>1</v>
      </c>
      <c r="G12" s="16">
        <f>B12*C12*$B$4</f>
        <v/>
      </c>
      <c r="H12" s="16">
        <f>IF(F12=1,G12,B12*(D12+(C12-D12)*(F12-1)/F12)*$B$4)</f>
        <v/>
      </c>
      <c r="I12" s="16">
        <f>B12*D12*$B$4</f>
        <v/>
      </c>
      <c r="J12" s="16">
        <f>B12*E12*$B$4</f>
        <v/>
      </c>
      <c r="K12" s="16">
        <f>B12*E12*$B$5+B12*F12*$B$6</f>
        <v/>
      </c>
      <c r="L12" s="16">
        <f>$B$7</f>
        <v/>
      </c>
      <c r="M12" s="17">
        <f>IF(AND(G12&lt;=K12,G12&lt;=L12),"Already wins",IF(AND(H12&lt;=K12,H12&lt;=L12),"P1: No parent billing",IF(AND(I12&lt;=K12,I12&lt;=L12),"P2: Active compute",IF(AND(J12&lt;=K12,J12&lt;=L12),"P3: Waitpoints","Cannot win"))))</f>
        <v/>
      </c>
    </row>
    <row r="13">
      <c r="A13" s="13" t="inlineStr">
        <is>
          <t>Multi-step LLM agent</t>
        </is>
      </c>
      <c r="B13" s="14" t="n">
        <v>100000</v>
      </c>
      <c r="C13" s="15" t="n">
        <v>35</v>
      </c>
      <c r="D13" s="15" t="n">
        <v>2.5</v>
      </c>
      <c r="E13" s="15" t="n">
        <v>1.5</v>
      </c>
      <c r="F13" s="15" t="n">
        <v>6</v>
      </c>
      <c r="G13" s="16">
        <f>B13*C13*$B$4</f>
        <v/>
      </c>
      <c r="H13" s="16">
        <f>IF(F13=1,G13,B13*(D13+(C13-D13)*(F13-1)/F13)*$B$4)</f>
        <v/>
      </c>
      <c r="I13" s="16">
        <f>B13*D13*$B$4</f>
        <v/>
      </c>
      <c r="J13" s="16">
        <f>B13*E13*$B$4</f>
        <v/>
      </c>
      <c r="K13" s="16">
        <f>B13*E13*$B$5+B13*F13*$B$6</f>
        <v/>
      </c>
      <c r="L13" s="16">
        <f>$B$7</f>
        <v/>
      </c>
      <c r="M13" s="17">
        <f>IF(AND(G13&lt;=K13,G13&lt;=L13),"Already wins",IF(AND(H13&lt;=K13,H13&lt;=L13),"P1: No parent billing",IF(AND(I13&lt;=K13,I13&lt;=L13),"P2: Active compute",IF(AND(J13&lt;=K13,J13&lt;=L13),"P3: Waitpoints","Cannot win"))))</f>
        <v/>
      </c>
    </row>
    <row r="14">
      <c r="A14" s="13" t="inlineStr">
        <is>
          <t>AI pipeline</t>
        </is>
      </c>
      <c r="B14" s="14" t="n">
        <v>50000</v>
      </c>
      <c r="C14" s="15" t="n">
        <v>90</v>
      </c>
      <c r="D14" s="15" t="n">
        <v>6</v>
      </c>
      <c r="E14" s="15" t="n">
        <v>3</v>
      </c>
      <c r="F14" s="15" t="n">
        <v>4</v>
      </c>
      <c r="G14" s="16">
        <f>B14*C14*$B$4</f>
        <v/>
      </c>
      <c r="H14" s="16">
        <f>IF(F14=1,G14,B14*(D14+(C14-D14)*(F14-1)/F14)*$B$4)</f>
        <v/>
      </c>
      <c r="I14" s="16">
        <f>B14*D14*$B$4</f>
        <v/>
      </c>
      <c r="J14" s="16">
        <f>B14*E14*$B$4</f>
        <v/>
      </c>
      <c r="K14" s="16">
        <f>B14*E14*$B$5+B14*F14*$B$6</f>
        <v/>
      </c>
      <c r="L14" s="16">
        <f>$B$7</f>
        <v/>
      </c>
      <c r="M14" s="17">
        <f>IF(AND(G14&lt;=K14,G14&lt;=L14),"Already wins",IF(AND(H14&lt;=K14,H14&lt;=L14),"P1: No parent billing",IF(AND(I14&lt;=K14,I14&lt;=L14),"P2: Active compute",IF(AND(J14&lt;=K14,J14&lt;=L14),"P3: Waitpoints","Cannot win"))))</f>
        <v/>
      </c>
    </row>
    <row r="15">
      <c r="A15" s="13" t="inlineStr">
        <is>
          <t>Data fan-out</t>
        </is>
      </c>
      <c r="B15" s="14" t="n">
        <v>10000</v>
      </c>
      <c r="C15" s="15" t="n">
        <v>200</v>
      </c>
      <c r="D15" s="15" t="n">
        <v>90</v>
      </c>
      <c r="E15" s="15" t="n">
        <v>85</v>
      </c>
      <c r="F15" s="15" t="n">
        <v>121</v>
      </c>
      <c r="G15" s="16">
        <f>B15*C15*$B$4</f>
        <v/>
      </c>
      <c r="H15" s="16">
        <f>IF(F15=1,G15,B15*(D15+(C15-D15)*(F15-1)/F15)*$B$4)</f>
        <v/>
      </c>
      <c r="I15" s="16">
        <f>B15*D15*$B$4</f>
        <v/>
      </c>
      <c r="J15" s="16">
        <f>B15*E15*$B$4</f>
        <v/>
      </c>
      <c r="K15" s="16">
        <f>B15*E15*$B$5+B15*F15*$B$6</f>
        <v/>
      </c>
      <c r="L15" s="16">
        <f>$B$7</f>
        <v/>
      </c>
      <c r="M15" s="17">
        <f>IF(AND(G15&lt;=K15,G15&lt;=L15),"Already wins",IF(AND(H15&lt;=K15,H15&lt;=L15),"P1: No parent billing",IF(AND(I15&lt;=K15,I15&lt;=L15),"P2: Active compute",IF(AND(J15&lt;=K15,J15&lt;=L15),"P3: Waitpoints","Cannot win"))))</f>
        <v/>
      </c>
    </row>
    <row r="16">
      <c r="A16" s="13" t="inlineStr">
        <is>
          <t>Long-running agent</t>
        </is>
      </c>
      <c r="B16" s="14" t="n">
        <v>10000</v>
      </c>
      <c r="C16" s="15" t="n">
        <v>350</v>
      </c>
      <c r="D16" s="15" t="n">
        <v>15</v>
      </c>
      <c r="E16" s="15" t="n">
        <v>5</v>
      </c>
      <c r="F16" s="15" t="n">
        <v>10</v>
      </c>
      <c r="G16" s="16">
        <f>B16*C16*$B$4</f>
        <v/>
      </c>
      <c r="H16" s="16">
        <f>IF(F16=1,G16,B16*(D16+(C16-D16)*(F16-1)/F16)*$B$4)</f>
        <v/>
      </c>
      <c r="I16" s="16">
        <f>B16*D16*$B$4</f>
        <v/>
      </c>
      <c r="J16" s="16">
        <f>B16*E16*$B$4</f>
        <v/>
      </c>
      <c r="K16" s="16">
        <f>B16*E16*$B$5+B16*F16*$B$6</f>
        <v/>
      </c>
      <c r="L16" s="16">
        <f>$B$7</f>
        <v/>
      </c>
      <c r="M16" s="17">
        <f>IF(AND(G16&lt;=K16,G16&lt;=L16),"Already wins",IF(AND(H16&lt;=K16,H16&lt;=L16),"P1: No parent billing",IF(AND(I16&lt;=K16,I16&lt;=L16),"P2: Active compute",IF(AND(J16&lt;=K16,J16&lt;=L16),"P3: Waitpoints","Cannot win"))))</f>
        <v/>
      </c>
    </row>
    <row r="18">
      <c r="A18" s="8" t="inlineStr">
        <is>
          <t>P1 — No parent billing: Stop billing parent tasks while subtasks run. Billing change only.</t>
        </is>
      </c>
    </row>
    <row r="19">
      <c r="A19" s="8" t="inlineStr">
        <is>
          <t>P2 — Active compute: Bill CPU-active time across all tasks. Requires cgroup CPU tracking.</t>
        </is>
      </c>
    </row>
    <row r="20">
      <c r="A20" s="8" t="inlineStr">
        <is>
          <t>P3 — Waitpoints: Explicit SDK primitives to pause billing during LLM/API calls. Requires CRIU. Builds on P2.</t>
        </is>
      </c>
    </row>
    <row r="21">
      <c r="A21" s="8" t="inlineStr">
        <is>
          <t>Trigger.dev already has P2 + P3. Their column uses Waitpoint Compute because their billing reflects both.</t>
        </is>
      </c>
    </row>
    <row r="22">
      <c r="A22" s="8" t="inlineStr">
        <is>
          <t>BG Worker: flat $85/mo (1× Pro). Does NOT include retries, orchestration, observability, or burst handling.</t>
        </is>
      </c>
    </row>
  </sheetData>
  <mergeCells count="6">
    <mergeCell ref="A22:J22"/>
    <mergeCell ref="A18:J18"/>
    <mergeCell ref="A1:L1"/>
    <mergeCell ref="A21:J21"/>
    <mergeCell ref="A20:J20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AI Support Customer — Cost Model</t>
        </is>
      </c>
    </row>
    <row r="2">
      <c r="A2" s="8" t="inlineStr">
        <is>
          <t>Change yellow cells to model your own workload.</t>
        </is>
      </c>
    </row>
    <row r="4">
      <c r="A4" s="2" t="inlineStr">
        <is>
          <t>INPUTS</t>
        </is>
      </c>
    </row>
    <row r="5">
      <c r="A5" s="13" t="inlineStr">
        <is>
          <t>Requests per month</t>
        </is>
      </c>
      <c r="B5" s="14" t="n">
        <v>800000</v>
      </c>
    </row>
    <row r="6">
      <c r="A6" s="13" t="inlineStr">
        <is>
          <t>Subtasks per request</t>
        </is>
      </c>
      <c r="B6" s="14" t="n">
        <v>10</v>
      </c>
    </row>
    <row r="7">
      <c r="A7" s="13" t="inlineStr">
        <is>
          <t>Parent wall-clock (seconds)</t>
        </is>
      </c>
      <c r="B7" s="18" t="n">
        <v>20</v>
      </c>
    </row>
    <row r="8">
      <c r="A8" s="13" t="inlineStr">
        <is>
          <t>Parent active compute (seconds)</t>
        </is>
      </c>
      <c r="B8" s="18" t="n">
        <v>2</v>
      </c>
    </row>
    <row r="9">
      <c r="A9" s="13" t="inlineStr">
        <is>
          <t>Subtask wall-clock (seconds)</t>
        </is>
      </c>
      <c r="B9" s="18" t="n">
        <v>3</v>
      </c>
    </row>
    <row r="10">
      <c r="A10" s="13" t="inlineStr">
        <is>
          <t>Subtask active compute (seconds)</t>
        </is>
      </c>
      <c r="B10" s="18" t="n">
        <v>0.5</v>
      </c>
    </row>
    <row r="12">
      <c r="A12" s="2" t="inlineStr">
        <is>
          <t>RATES</t>
        </is>
      </c>
    </row>
    <row r="13">
      <c r="A13" s="13" t="inlineStr">
        <is>
          <t>Render $/second (Standard)</t>
        </is>
      </c>
      <c r="B13" s="10" t="n">
        <v>5.56e-05</v>
      </c>
    </row>
    <row r="14">
      <c r="A14" s="13" t="inlineStr">
        <is>
          <t>Trigger $/second (Medium 1x)</t>
        </is>
      </c>
      <c r="B14" s="10" t="n">
        <v>8.500000000000001e-05</v>
      </c>
    </row>
    <row r="15">
      <c r="A15" s="13" t="inlineStr">
        <is>
          <t>Trigger invocation $/run</t>
        </is>
      </c>
      <c r="B15" s="10" t="n">
        <v>2.5e-05</v>
      </c>
    </row>
    <row r="17">
      <c r="A17" s="2" t="inlineStr">
        <is>
          <t>DERIVED VALUES</t>
        </is>
      </c>
    </row>
    <row r="18">
      <c r="A18" s="4" t="inlineStr">
        <is>
          <t>Total task runs / month</t>
        </is>
      </c>
      <c r="B18" s="19">
        <f>B5*(1+B6)</f>
        <v/>
      </c>
    </row>
    <row r="19">
      <c r="A19" s="4" t="inlineStr">
        <is>
          <t>Total parent billed seconds (Render)</t>
        </is>
      </c>
      <c r="B19" s="19">
        <f>B5*B7</f>
        <v/>
      </c>
    </row>
    <row r="20">
      <c r="A20" s="4" t="inlineStr">
        <is>
          <t>Total subtask billed seconds (Render)</t>
        </is>
      </c>
      <c r="B20" s="19">
        <f>B5*B6*B9</f>
        <v/>
      </c>
    </row>
    <row r="21">
      <c r="A21" s="4" t="inlineStr">
        <is>
          <t>Total parent billed seconds (Trigger)</t>
        </is>
      </c>
      <c r="B21" s="19">
        <f>B5*B8</f>
        <v/>
      </c>
    </row>
    <row r="22">
      <c r="A22" s="4" t="inlineStr">
        <is>
          <t>Total subtask billed seconds (Trigger)</t>
        </is>
      </c>
      <c r="B22" s="19">
        <f>B5*B6*B10</f>
        <v/>
      </c>
    </row>
    <row r="23">
      <c r="A23" s="4" t="inlineStr">
        <is>
          <t>Wait ratio (parent)</t>
        </is>
      </c>
      <c r="B23" s="20">
        <f>1-B8/B7</f>
        <v/>
      </c>
    </row>
    <row r="24">
      <c r="A24" s="4" t="inlineStr">
        <is>
          <t>Wait ratio (subtask)</t>
        </is>
      </c>
      <c r="B24" s="20">
        <f>1-B10/B9</f>
        <v/>
      </c>
    </row>
    <row r="27">
      <c r="A27" s="21" t="inlineStr">
        <is>
          <t>RENDER WORKFLOWS — TODAY</t>
        </is>
      </c>
    </row>
    <row r="28">
      <c r="A28" s="13" t="inlineStr">
        <is>
          <t>Parent compute cost</t>
        </is>
      </c>
      <c r="B28" s="5">
        <f>B5*B7*B13</f>
        <v/>
      </c>
    </row>
    <row r="29">
      <c r="A29" s="13" t="inlineStr">
        <is>
          <t>Subtask compute cost</t>
        </is>
      </c>
      <c r="B29" s="5">
        <f>B5*B6*B9*B13</f>
        <v/>
      </c>
    </row>
    <row r="30">
      <c r="A30" s="13" t="inlineStr">
        <is>
          <t>Invocation fees</t>
        </is>
      </c>
      <c r="B30" s="5" t="n">
        <v>0</v>
      </c>
    </row>
    <row r="31">
      <c r="A31" s="13" t="inlineStr">
        <is>
          <t>TOTAL</t>
        </is>
      </c>
      <c r="B31" s="16">
        <f>B28+B29+B30</f>
        <v/>
      </c>
    </row>
    <row r="34">
      <c r="A34" s="22" t="inlineStr">
        <is>
          <t>APPROACH 1 — No parent billing during subtask waits</t>
        </is>
      </c>
    </row>
    <row r="35">
      <c r="A35" s="13" t="inlineStr">
        <is>
          <t>Parent compute cost (active only)</t>
        </is>
      </c>
      <c r="B35" s="5">
        <f>B5*B8*B13</f>
        <v/>
      </c>
    </row>
    <row r="36">
      <c r="A36" s="13" t="inlineStr">
        <is>
          <t>Subtask compute cost (unchanged)</t>
        </is>
      </c>
      <c r="B36" s="5">
        <f>B5*B6*B9*B13</f>
        <v/>
      </c>
    </row>
    <row r="37">
      <c r="A37" s="13" t="inlineStr">
        <is>
          <t>Invocation fees</t>
        </is>
      </c>
      <c r="B37" s="5" t="n">
        <v>0</v>
      </c>
    </row>
    <row r="38">
      <c r="A38" s="13" t="inlineStr">
        <is>
          <t>TOTAL</t>
        </is>
      </c>
      <c r="B38" s="16">
        <f>B35+B36+B37</f>
        <v/>
      </c>
    </row>
    <row r="39">
      <c r="A39" s="13" t="inlineStr">
        <is>
          <t>Savings vs today</t>
        </is>
      </c>
      <c r="B39" s="5">
        <f>B31-B38</f>
        <v/>
      </c>
    </row>
    <row r="40">
      <c r="A40" s="13" t="inlineStr">
        <is>
          <t>% reduction</t>
        </is>
      </c>
      <c r="B40" s="20">
        <f>1-B38/B31</f>
        <v/>
      </c>
    </row>
    <row r="41">
      <c r="A41" s="13" t="inlineStr">
        <is>
          <t>vs Trigger.dev</t>
        </is>
      </c>
      <c r="B41" s="23">
        <f>B38/B56</f>
        <v/>
      </c>
    </row>
    <row r="43">
      <c r="A43" s="24" t="inlineStr">
        <is>
          <t>APPROACH 2 — Active compute billing (all tasks)</t>
        </is>
      </c>
    </row>
    <row r="44">
      <c r="A44" s="13" t="inlineStr">
        <is>
          <t>Parent compute cost (active only)</t>
        </is>
      </c>
      <c r="B44" s="5">
        <f>B5*B8*B13</f>
        <v/>
      </c>
    </row>
    <row r="45">
      <c r="A45" s="13" t="inlineStr">
        <is>
          <t>Subtask compute cost (active only)</t>
        </is>
      </c>
      <c r="B45" s="5">
        <f>B5*B6*B10*B13</f>
        <v/>
      </c>
    </row>
    <row r="46">
      <c r="A46" s="13" t="inlineStr">
        <is>
          <t>Invocation fees</t>
        </is>
      </c>
      <c r="B46" s="5" t="n">
        <v>0</v>
      </c>
    </row>
    <row r="47">
      <c r="A47" s="13" t="inlineStr">
        <is>
          <t>TOTAL</t>
        </is>
      </c>
      <c r="B47" s="16">
        <f>B44+B45+B46</f>
        <v/>
      </c>
    </row>
    <row r="48">
      <c r="A48" s="13" t="inlineStr">
        <is>
          <t>Savings vs today</t>
        </is>
      </c>
      <c r="B48" s="5">
        <f>B31-B47</f>
        <v/>
      </c>
    </row>
    <row r="49">
      <c r="A49" s="13" t="inlineStr">
        <is>
          <t>% reduction</t>
        </is>
      </c>
      <c r="B49" s="20">
        <f>1-B47/B31</f>
        <v/>
      </c>
    </row>
    <row r="50">
      <c r="A50" s="13" t="inlineStr">
        <is>
          <t>vs Trigger.dev</t>
        </is>
      </c>
      <c r="B50" s="25">
        <f>IF(B47&lt;=B56,"Render cheaper by "&amp;TEXT(1-B47/B56,"0%"),"Trigger cheaper by "&amp;TEXT(1-B56/B47,"0%"))</f>
        <v/>
      </c>
    </row>
    <row r="52">
      <c r="A52" s="26" t="inlineStr">
        <is>
          <t>TRIGGER.DEV</t>
        </is>
      </c>
    </row>
    <row r="53">
      <c r="A53" s="13" t="inlineStr">
        <is>
          <t>Parent compute cost (active only)</t>
        </is>
      </c>
      <c r="B53" s="5">
        <f>B5*B8*B14</f>
        <v/>
      </c>
    </row>
    <row r="54">
      <c r="A54" s="13" t="inlineStr">
        <is>
          <t>Subtask compute cost (active only)</t>
        </is>
      </c>
      <c r="B54" s="5">
        <f>B5*B6*B10*B14</f>
        <v/>
      </c>
    </row>
    <row r="55">
      <c r="A55" s="13" t="inlineStr">
        <is>
          <t>Invocation fees</t>
        </is>
      </c>
      <c r="B55" s="5">
        <f>B5*(1+B6)*B15</f>
        <v/>
      </c>
    </row>
    <row r="56">
      <c r="A56" s="13" t="inlineStr">
        <is>
          <t>TOTAL</t>
        </is>
      </c>
      <c r="B56" s="16">
        <f>B53+B54+B55</f>
        <v/>
      </c>
    </row>
    <row r="58">
      <c r="A58" s="2" t="inlineStr">
        <is>
          <t>BACKGROUND WORKERS</t>
        </is>
      </c>
    </row>
    <row r="59">
      <c r="A59" s="13" t="inlineStr">
        <is>
          <t>Instance type cost ($/month)</t>
        </is>
      </c>
      <c r="B59" s="12" t="n">
        <v>175</v>
      </c>
    </row>
    <row r="60">
      <c r="A60" s="13" t="inlineStr">
        <is>
          <t>Number of instances</t>
        </is>
      </c>
      <c r="B60" s="14" t="n">
        <v>4</v>
      </c>
    </row>
    <row r="61">
      <c r="A61" s="13" t="inlineStr">
        <is>
          <t>TOTAL</t>
        </is>
      </c>
      <c r="B61" s="16">
        <f>B59*B60</f>
        <v/>
      </c>
    </row>
    <row r="63">
      <c r="A63" s="1" t="inlineStr">
        <is>
          <t>SUMMARY COMPARISON</t>
        </is>
      </c>
    </row>
    <row r="64">
      <c r="A64" s="3" t="inlineStr">
        <is>
          <t>Option</t>
        </is>
      </c>
      <c r="B64" s="3" t="inlineStr">
        <is>
          <t>Monthly Cost</t>
        </is>
      </c>
      <c r="C64" s="3" t="inlineStr">
        <is>
          <t>vs Today</t>
        </is>
      </c>
      <c r="D64" s="3" t="inlineStr">
        <is>
          <t>vs Trigger.dev</t>
        </is>
      </c>
    </row>
    <row r="65">
      <c r="A65" s="13" t="inlineStr">
        <is>
          <t>Render Workflows (today)</t>
        </is>
      </c>
      <c r="B65" s="16">
        <f>B31</f>
        <v/>
      </c>
    </row>
    <row r="66">
      <c r="A66" s="13" t="inlineStr">
        <is>
          <t>Approach 1 (no parent billing)</t>
        </is>
      </c>
      <c r="B66" s="16">
        <f>B38</f>
        <v/>
      </c>
      <c r="C66" s="5">
        <f>B31-B38</f>
        <v/>
      </c>
      <c r="D66" s="5">
        <f>B38-B56</f>
        <v/>
      </c>
    </row>
    <row r="67">
      <c r="A67" s="13" t="inlineStr">
        <is>
          <t>Approach 2 (active compute)</t>
        </is>
      </c>
      <c r="B67" s="16">
        <f>B47</f>
        <v/>
      </c>
      <c r="C67" s="5">
        <f>B31-B47</f>
        <v/>
      </c>
      <c r="D67" s="5">
        <f>B47-B56</f>
        <v/>
      </c>
    </row>
    <row r="68">
      <c r="A68" s="13" t="inlineStr">
        <is>
          <t>Approach 3 (waitpoints on top of 2)</t>
        </is>
      </c>
      <c r="B68" s="16">
        <f>B47</f>
        <v/>
      </c>
    </row>
    <row r="69">
      <c r="A69" s="13" t="inlineStr">
        <is>
          <t xml:space="preserve">  ^ same baseline, further savings</t>
        </is>
      </c>
      <c r="B69" s="16" t="inlineStr"/>
    </row>
    <row r="70">
      <c r="A70" s="13" t="inlineStr">
        <is>
          <t xml:space="preserve">  ^ on long LLM/API waits + new</t>
        </is>
      </c>
      <c r="B70" s="16" t="inlineStr"/>
    </row>
    <row r="71">
      <c r="A71" s="13" t="inlineStr">
        <is>
          <t xml:space="preserve">  ^ use cases (approval flows, etc)</t>
        </is>
      </c>
      <c r="B71" s="16" t="inlineStr"/>
    </row>
    <row r="72">
      <c r="A72" s="13" t="inlineStr">
        <is>
          <t>Trigger.dev</t>
        </is>
      </c>
      <c r="B72" s="16">
        <f>B56</f>
        <v/>
      </c>
    </row>
    <row r="73">
      <c r="A73" s="13" t="inlineStr">
        <is>
          <t>Background Workers</t>
        </is>
      </c>
      <c r="B73" s="16">
        <f>B61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2" customWidth="1" min="4" max="4"/>
  </cols>
  <sheetData>
    <row r="1">
      <c r="A1" s="1" t="inlineStr">
        <is>
          <t>Three Approaches — Tradeoff Comparison</t>
        </is>
      </c>
    </row>
    <row r="3">
      <c r="A3" s="3" t="inlineStr">
        <is>
          <t>Dimension</t>
        </is>
      </c>
      <c r="B3" s="3" t="inlineStr">
        <is>
          <t>Approach 1
No parent billing</t>
        </is>
      </c>
      <c r="C3" s="3" t="inlineStr">
        <is>
          <t>Approach 2
Active compute only</t>
        </is>
      </c>
      <c r="D3" s="3" t="inlineStr">
        <is>
          <t>Approach 3
Waitpoints (checkpoint)</t>
        </is>
      </c>
    </row>
    <row r="4">
      <c r="A4" s="13" t="inlineStr">
        <is>
          <t>What changes</t>
        </is>
      </c>
      <c r="B4" s="27" t="inlineStr">
        <is>
          <t>Billing only</t>
        </is>
      </c>
      <c r="C4" s="27" t="inlineStr">
        <is>
          <t>Billing + runtime metering</t>
        </is>
      </c>
      <c r="D4" s="27" t="inlineStr">
        <is>
          <t>SDK + checkpointing infra (on top of Approach 2)</t>
        </is>
      </c>
    </row>
    <row r="5">
      <c r="A5" s="13" t="inlineStr">
        <is>
          <t>Customer cost (AI case)</t>
        </is>
      </c>
      <c r="B5" s="28">
        <f>'Customer Scenario'!B38</f>
        <v/>
      </c>
      <c r="C5" s="28">
        <f>'Customer Scenario'!B47</f>
        <v/>
      </c>
      <c r="D5" s="27" t="inlineStr">
        <is>
          <t>Approach 2 baseline + further savings on long LLM waits</t>
        </is>
      </c>
    </row>
    <row r="6">
      <c r="A6" s="13" t="inlineStr">
        <is>
          <t>% reduction vs today</t>
        </is>
      </c>
      <c r="B6" s="29">
        <f>'Customer Scenario'!B40</f>
        <v/>
      </c>
      <c r="C6" s="29">
        <f>'Customer Scenario'!B49</f>
        <v/>
      </c>
      <c r="D6" s="27" t="inlineStr">
        <is>
          <t>86%+ (depends on wait duration)</t>
        </is>
      </c>
    </row>
    <row r="7">
      <c r="A7" s="13" t="inlineStr">
        <is>
          <t>vs Trigger.dev</t>
        </is>
      </c>
      <c r="B7" s="27" t="inlineStr">
        <is>
          <t>Still more expensive</t>
        </is>
      </c>
      <c r="C7" s="27" t="inlineStr">
        <is>
          <t>Cheaper (lower rate, no invoc fee)</t>
        </is>
      </c>
      <c r="D7" s="27" t="inlineStr">
        <is>
          <t>Even cheaper for long-running calls</t>
        </is>
      </c>
    </row>
    <row r="8">
      <c r="A8" s="13" t="inlineStr">
        <is>
          <t>SDK changes required</t>
        </is>
      </c>
      <c r="B8" s="27" t="inlineStr">
        <is>
          <t>None</t>
        </is>
      </c>
      <c r="C8" s="27" t="inlineStr">
        <is>
          <t>None</t>
        </is>
      </c>
      <c r="D8" s="27" t="inlineStr">
        <is>
          <t>Yes — new wait primitives (wait.for_result, wait.for_callback, wait.for_duration)</t>
        </is>
      </c>
    </row>
    <row r="9">
      <c r="A9" s="13" t="inlineStr">
        <is>
          <t>Customer code changes</t>
        </is>
      </c>
      <c r="B9" s="27" t="inlineStr">
        <is>
          <t>None</t>
        </is>
      </c>
      <c r="C9" s="27" t="inlineStr">
        <is>
          <t>None</t>
        </is>
      </c>
      <c r="D9" s="27" t="inlineStr">
        <is>
          <t>Wrap long LLM/API calls in wait hooks</t>
        </is>
      </c>
    </row>
    <row r="10">
      <c r="A10" s="13" t="inlineStr">
        <is>
          <t>Performance impact</t>
        </is>
      </c>
      <c r="B10" s="27" t="inlineStr">
        <is>
          <t>None</t>
        </is>
      </c>
      <c r="C10" s="27" t="inlineStr">
        <is>
          <t>None</t>
        </is>
      </c>
      <c r="D10" s="27" t="inlineStr">
        <is>
          <t>Adds checkpoint/restore latency per waitpoint</t>
        </is>
      </c>
    </row>
    <row r="11">
      <c r="A11" s="13" t="inlineStr">
        <is>
          <t>Implementation complexity</t>
        </is>
      </c>
      <c r="B11" s="27" t="inlineStr">
        <is>
          <t>Low</t>
        </is>
      </c>
      <c r="C11" s="27" t="inlineStr">
        <is>
          <t>Medium</t>
        </is>
      </c>
      <c r="D11" s="27" t="inlineStr">
        <is>
          <t>High — requires Approach 2 first</t>
        </is>
      </c>
    </row>
    <row r="12">
      <c r="A12" s="13" t="inlineStr">
        <is>
          <t>Key dependency</t>
        </is>
      </c>
      <c r="B12" s="27" t="inlineStr">
        <is>
          <t>Billing system</t>
        </is>
      </c>
      <c r="C12" s="27" t="inlineStr">
        <is>
          <t>cgroup CPU tracking</t>
        </is>
      </c>
      <c r="D12" s="27" t="inlineStr">
        <is>
          <t>CRIU or equivalent + checkpoint storage</t>
        </is>
      </c>
    </row>
    <row r="13">
      <c r="A13" s="13" t="inlineStr">
        <is>
          <t>Time to ship (estimate)</t>
        </is>
      </c>
      <c r="B13" s="27" t="inlineStr">
        <is>
          <t>Weeks</t>
        </is>
      </c>
      <c r="C13" s="27" t="inlineStr">
        <is>
          <t>1-2 months</t>
        </is>
      </c>
      <c r="D13" s="27" t="inlineStr">
        <is>
          <t>3-6 months (after Approach 2)</t>
        </is>
      </c>
    </row>
    <row r="14">
      <c r="A14" s="13" t="inlineStr">
        <is>
          <t>Revenue impact</t>
        </is>
      </c>
      <c r="B14" s="27" t="inlineStr">
        <is>
          <t>Moderate (~30-50%)</t>
        </is>
      </c>
      <c r="C14" s="27" t="inlineStr">
        <is>
          <t>Large (~60-80%)</t>
        </is>
      </c>
      <c r="D14" s="27" t="inlineStr">
        <is>
          <t>Incremental beyond Approach 2</t>
        </is>
      </c>
    </row>
    <row r="15">
      <c r="A15" s="13" t="inlineStr">
        <is>
          <t>New use cases unlocked</t>
        </is>
      </c>
      <c r="B15" s="27" t="inlineStr">
        <is>
          <t>No</t>
        </is>
      </c>
      <c r="C15" s="27" t="inlineStr">
        <is>
          <t>No</t>
        </is>
      </c>
      <c r="D15" s="27" t="inlineStr">
        <is>
          <t>Yes — approval flows, webhook waits, multi-day workflows, long-running agents</t>
        </is>
      </c>
    </row>
    <row r="16">
      <c r="A16" s="13" t="inlineStr">
        <is>
          <t>Closes pricing gap alone?</t>
        </is>
      </c>
      <c r="B16" s="27" t="inlineStr">
        <is>
          <t>No — subtasks still bill wall-clock</t>
        </is>
      </c>
      <c r="C16" s="27" t="inlineStr">
        <is>
          <t>Yes — fully competitive</t>
        </is>
      </c>
      <c r="D16" s="27" t="inlineStr">
        <is>
          <t>No — builds on Approach 2, optimizes further for long waits</t>
        </is>
      </c>
    </row>
    <row r="17">
      <c r="A17" s="13" t="inlineStr">
        <is>
          <t>Relationship to other approaches</t>
        </is>
      </c>
      <c r="B17" s="27" t="inlineStr">
        <is>
          <t>Standalone</t>
        </is>
      </c>
      <c r="C17" s="27" t="inlineStr">
        <is>
          <t>Standalone (supercedes Approach 1)</t>
        </is>
      </c>
      <c r="D17" s="27" t="inlineStr">
        <is>
          <t>Additive — requires Approach 2 as foundation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24" customWidth="1" min="15" max="15"/>
  </cols>
  <sheetData>
    <row r="1">
      <c r="A1" s="1" t="inlineStr">
        <is>
          <t>When Does Workflows Win?</t>
        </is>
      </c>
    </row>
    <row r="2">
      <c r="A2" s="8" t="inlineStr">
        <is>
          <t>Three projects, progressive impact. Yellow = inputs you can change.</t>
        </is>
      </c>
    </row>
    <row r="4">
      <c r="A4" s="2" t="inlineStr">
        <is>
          <t>RATES</t>
        </is>
      </c>
    </row>
    <row r="5">
      <c r="A5" s="13" t="inlineStr">
        <is>
          <t>Workflows $/second</t>
        </is>
      </c>
      <c r="B5" s="10" t="n">
        <v>5.56e-05</v>
      </c>
      <c r="C5" s="11" t="inlineStr">
        <is>
          <t>(Standard: 1 CPU, 2 GB)</t>
        </is>
      </c>
    </row>
    <row r="6">
      <c r="A6" s="13" t="inlineStr">
        <is>
          <t>Trigger.dev $/second</t>
        </is>
      </c>
      <c r="B6" s="10" t="n">
        <v>8.500000000000001e-05</v>
      </c>
      <c r="C6" s="11" t="inlineStr">
        <is>
          <t>(Medium 1x: 1 CPU, 2 GB — same specs)</t>
        </is>
      </c>
    </row>
    <row r="7">
      <c r="A7" s="13" t="inlineStr">
        <is>
          <t>Trigger.dev invocation $/run</t>
        </is>
      </c>
      <c r="B7" s="10" t="n">
        <v>2.5e-05</v>
      </c>
      <c r="C7" s="11" t="inlineStr">
        <is>
          <t>(charged per task run, Workflows has none)</t>
        </is>
      </c>
    </row>
    <row r="8">
      <c r="A8" s="13" t="inlineStr">
        <is>
          <t>BG Worker $/month per instance</t>
        </is>
      </c>
      <c r="B8" s="12" t="n">
        <v>85</v>
      </c>
      <c r="C8" s="11" t="inlineStr">
        <is>
          <t>(Pro: 2 CPU, 4 GB)</t>
        </is>
      </c>
    </row>
    <row r="9">
      <c r="A9" s="13" t="inlineStr">
        <is>
          <t>BG subprocess workers per instance</t>
        </is>
      </c>
      <c r="B9" s="14" t="n">
        <v>2</v>
      </c>
      <c r="C9" s="11" t="inlineStr">
        <is>
          <t>(e.g., Gunicorn/Celery workers — 1 per CPU, ~1GB RAM each)</t>
        </is>
      </c>
    </row>
    <row r="10">
      <c r="A10" s="13" t="inlineStr">
        <is>
          <t>BG async slots per subprocess</t>
        </is>
      </c>
      <c r="B10" s="14" t="n">
        <v>50</v>
      </c>
      <c r="C10" s="11" t="inlineStr">
        <is>
          <t>(concurrent async I/O requests per subprocess)</t>
        </is>
      </c>
    </row>
    <row r="11">
      <c r="A11" s="13" t="inlineStr">
        <is>
          <t>Peak-to-average traffic ratio</t>
        </is>
      </c>
      <c r="B11" s="30" t="n">
        <v>3</v>
      </c>
      <c r="C11" s="11" t="inlineStr">
        <is>
          <t>(traffic skews to business hours)</t>
        </is>
      </c>
    </row>
    <row r="13">
      <c r="A13" s="2" t="inlineStr">
        <is>
          <t>COST COMPARISON BY WORKLOAD</t>
        </is>
      </c>
    </row>
    <row r="14">
      <c r="A14" s="3" t="inlineStr">
        <is>
          <t>Task Type</t>
        </is>
      </c>
      <c r="B14" s="3" t="inlineStr">
        <is>
          <t>Typically
Runs On</t>
        </is>
      </c>
      <c r="C14" s="3" t="inlineStr">
        <is>
          <t>Monthly
Volume</t>
        </is>
      </c>
      <c r="D14" s="3" t="inlineStr">
        <is>
          <t>Wall-Clock
(s)</t>
        </is>
      </c>
      <c r="E14" s="3" t="inlineStr">
        <is>
          <t>Active
Compute (s)</t>
        </is>
      </c>
      <c r="F14" s="3" t="inlineStr">
        <is>
          <t>Waitpoint
Compute (s)</t>
        </is>
      </c>
      <c r="G14" s="3" t="inlineStr">
        <is>
          <t>Runs/
Req</t>
        </is>
      </c>
      <c r="H14" s="31" t="inlineStr">
        <is>
          <t>Workflows
TODAY</t>
        </is>
      </c>
      <c r="I14" s="31" t="inlineStr">
        <is>
          <t>P1: No Parent
Billing</t>
        </is>
      </c>
      <c r="J14" s="31" t="inlineStr">
        <is>
          <t>P2: Active
Compute Only</t>
        </is>
      </c>
      <c r="K14" s="31" t="inlineStr">
        <is>
          <t>P3: Waitpoints</t>
        </is>
      </c>
      <c r="L14" s="31" t="inlineStr">
        <is>
          <t>Trigger.dev</t>
        </is>
      </c>
      <c r="M14" s="31" t="inlineStr">
        <is>
          <t>BG Instances
Needed</t>
        </is>
      </c>
      <c r="N14" s="31" t="inlineStr">
        <is>
          <t>BG Workers
Cost</t>
        </is>
      </c>
      <c r="O14" s="31" t="inlineStr">
        <is>
          <t>Project Needed
to Win</t>
        </is>
      </c>
    </row>
    <row r="15">
      <c r="A15" s="13" t="inlineStr">
        <is>
          <t>Simple compute</t>
        </is>
      </c>
      <c r="B15" s="32" t="inlineStr">
        <is>
          <t>Workflows</t>
        </is>
      </c>
      <c r="C15" s="14" t="n">
        <v>500000</v>
      </c>
      <c r="D15" s="15" t="n">
        <v>1</v>
      </c>
      <c r="E15" s="15" t="n">
        <v>1</v>
      </c>
      <c r="F15" s="15" t="n">
        <v>1</v>
      </c>
      <c r="G15" s="15" t="n">
        <v>1</v>
      </c>
      <c r="H15" s="16">
        <f>C15*D15*$B$5</f>
        <v/>
      </c>
      <c r="I15" s="16">
        <f>IF(G15=1,H15,C15*(E15+(D15-E15)*(G15-1)/G15)*$B$5)</f>
        <v/>
      </c>
      <c r="J15" s="16">
        <f>C15*E15*$B$5</f>
        <v/>
      </c>
      <c r="K15" s="16">
        <f>C15*F15*$B$5</f>
        <v/>
      </c>
      <c r="L15" s="16">
        <f>C15*F15*$B$6+C15*G15*$B$7</f>
        <v/>
      </c>
      <c r="M15" s="33">
        <f>MAX(CEILING(C15*E15/(730*3600*$B$9),1),CEILING((C15/730/3600)*D15*$B$11/($B$9*$B$10),1))</f>
        <v/>
      </c>
      <c r="N15" s="16">
        <f>M15*$B$8</f>
        <v/>
      </c>
      <c r="O15" s="17">
        <f>IF(AND(H15&lt;=L15,H15&lt;=N15),"Already wins",IF(AND(I15&lt;=L15,I15&lt;=N15),"P1: No parent billing",IF(AND(J15&lt;=L15,J15&lt;=N15),"P2: Active compute",IF(AND(K15&lt;=L15,K15&lt;=N15),"P3: Waitpoints","Cannot win"))))</f>
        <v/>
      </c>
    </row>
    <row r="16">
      <c r="A16" s="13" t="inlineStr">
        <is>
          <t>Image processing</t>
        </is>
      </c>
      <c r="B16" s="34" t="inlineStr">
        <is>
          <t>BG Worker</t>
        </is>
      </c>
      <c r="C16" s="14" t="n">
        <v>200000</v>
      </c>
      <c r="D16" s="15" t="n">
        <v>5</v>
      </c>
      <c r="E16" s="15" t="n">
        <v>5</v>
      </c>
      <c r="F16" s="15" t="n">
        <v>5</v>
      </c>
      <c r="G16" s="15" t="n">
        <v>1</v>
      </c>
      <c r="H16" s="16">
        <f>C16*D16*$B$5</f>
        <v/>
      </c>
      <c r="I16" s="16">
        <f>IF(G16=1,H16,C16*(E16+(D16-E16)*(G16-1)/G16)*$B$5)</f>
        <v/>
      </c>
      <c r="J16" s="16">
        <f>C16*E16*$B$5</f>
        <v/>
      </c>
      <c r="K16" s="16">
        <f>C16*F16*$B$5</f>
        <v/>
      </c>
      <c r="L16" s="16">
        <f>C16*F16*$B$6+C16*G16*$B$7</f>
        <v/>
      </c>
      <c r="M16" s="33">
        <f>MAX(CEILING(C16*E16/(730*3600*$B$9),1),CEILING((C16/730/3600)*D16*$B$11/($B$9*$B$10),1))</f>
        <v/>
      </c>
      <c r="N16" s="16">
        <f>M16*$B$8</f>
        <v/>
      </c>
      <c r="O16" s="17">
        <f>IF(AND(H16&lt;=L16,H16&lt;=N16),"Already wins",IF(AND(I16&lt;=L16,I16&lt;=N16),"P1: No parent billing",IF(AND(J16&lt;=L16,J16&lt;=N16),"P2: Active compute",IF(AND(K16&lt;=L16,K16&lt;=N16),"P3: Waitpoints","Cannot win"))))</f>
        <v/>
      </c>
    </row>
    <row r="17">
      <c r="A17" s="13" t="inlineStr">
        <is>
          <t>Single LLM call</t>
        </is>
      </c>
      <c r="B17" s="34" t="inlineStr">
        <is>
          <t>BG Worker</t>
        </is>
      </c>
      <c r="C17" s="14" t="n">
        <v>300000</v>
      </c>
      <c r="D17" s="15" t="n">
        <v>8</v>
      </c>
      <c r="E17" s="15" t="n">
        <v>0.5</v>
      </c>
      <c r="F17" s="15" t="n">
        <v>0.3</v>
      </c>
      <c r="G17" s="15" t="n">
        <v>1</v>
      </c>
      <c r="H17" s="16">
        <f>C17*D17*$B$5</f>
        <v/>
      </c>
      <c r="I17" s="16">
        <f>IF(G17=1,H17,C17*(E17+(D17-E17)*(G17-1)/G17)*$B$5)</f>
        <v/>
      </c>
      <c r="J17" s="16">
        <f>C17*E17*$B$5</f>
        <v/>
      </c>
      <c r="K17" s="16">
        <f>C17*F17*$B$5</f>
        <v/>
      </c>
      <c r="L17" s="16">
        <f>C17*F17*$B$6+C17*G17*$B$7</f>
        <v/>
      </c>
      <c r="M17" s="33">
        <f>MAX(CEILING(C17*E17/(730*3600*$B$9),1),CEILING((C17/730/3600)*D17*$B$11/($B$9*$B$10),1))</f>
        <v/>
      </c>
      <c r="N17" s="16">
        <f>M17*$B$8</f>
        <v/>
      </c>
      <c r="O17" s="17">
        <f>IF(AND(H17&lt;=L17,H17&lt;=N17),"Already wins",IF(AND(I17&lt;=L17,I17&lt;=N17),"P1: No parent billing",IF(AND(J17&lt;=L17,J17&lt;=N17),"P2: Active compute",IF(AND(K17&lt;=L17,K17&lt;=N17),"P3: Waitpoints","Cannot win"))))</f>
        <v/>
      </c>
    </row>
    <row r="18">
      <c r="A18" s="13" t="inlineStr">
        <is>
          <t>Multi-step LLM agent</t>
        </is>
      </c>
      <c r="B18" s="34" t="inlineStr">
        <is>
          <t>BG Worker</t>
        </is>
      </c>
      <c r="C18" s="14" t="n">
        <v>100000</v>
      </c>
      <c r="D18" s="15" t="n">
        <v>35</v>
      </c>
      <c r="E18" s="15" t="n">
        <v>2.5</v>
      </c>
      <c r="F18" s="15" t="n">
        <v>1.5</v>
      </c>
      <c r="G18" s="15" t="n">
        <v>6</v>
      </c>
      <c r="H18" s="16">
        <f>C18*D18*$B$5</f>
        <v/>
      </c>
      <c r="I18" s="16">
        <f>IF(G18=1,H18,C18*(E18+(D18-E18)*(G18-1)/G18)*$B$5)</f>
        <v/>
      </c>
      <c r="J18" s="16">
        <f>C18*E18*$B$5</f>
        <v/>
      </c>
      <c r="K18" s="16">
        <f>C18*F18*$B$5</f>
        <v/>
      </c>
      <c r="L18" s="16">
        <f>C18*F18*$B$6+C18*G18*$B$7</f>
        <v/>
      </c>
      <c r="M18" s="33">
        <f>MAX(CEILING(C18*E18/(730*3600*$B$9),1),CEILING((C18/730/3600)*D18*$B$11/($B$9*$B$10),1))</f>
        <v/>
      </c>
      <c r="N18" s="16">
        <f>M18*$B$8</f>
        <v/>
      </c>
      <c r="O18" s="17">
        <f>IF(AND(H18&lt;=L18,H18&lt;=N18),"Already wins",IF(AND(I18&lt;=L18,I18&lt;=N18),"P1: No parent billing",IF(AND(J18&lt;=L18,J18&lt;=N18),"P2: Active compute",IF(AND(K18&lt;=L18,K18&lt;=N18),"P3: Waitpoints","Cannot win"))))</f>
        <v/>
      </c>
    </row>
    <row r="19">
      <c r="A19" s="13" t="inlineStr">
        <is>
          <t>AI pipeline</t>
        </is>
      </c>
      <c r="B19" s="34" t="inlineStr">
        <is>
          <t>BG Worker</t>
        </is>
      </c>
      <c r="C19" s="14" t="n">
        <v>50000</v>
      </c>
      <c r="D19" s="15" t="n">
        <v>90</v>
      </c>
      <c r="E19" s="15" t="n">
        <v>6</v>
      </c>
      <c r="F19" s="15" t="n">
        <v>3</v>
      </c>
      <c r="G19" s="15" t="n">
        <v>4</v>
      </c>
      <c r="H19" s="16">
        <f>C19*D19*$B$5</f>
        <v/>
      </c>
      <c r="I19" s="16">
        <f>IF(G19=1,H19,C19*(E19+(D19-E19)*(G19-1)/G19)*$B$5)</f>
        <v/>
      </c>
      <c r="J19" s="16">
        <f>C19*E19*$B$5</f>
        <v/>
      </c>
      <c r="K19" s="16">
        <f>C19*F19*$B$5</f>
        <v/>
      </c>
      <c r="L19" s="16">
        <f>C19*F19*$B$6+C19*G19*$B$7</f>
        <v/>
      </c>
      <c r="M19" s="33">
        <f>MAX(CEILING(C19*E19/(730*3600*$B$9),1),CEILING((C19/730/3600)*D19*$B$11/($B$9*$B$10),1))</f>
        <v/>
      </c>
      <c r="N19" s="16">
        <f>M19*$B$8</f>
        <v/>
      </c>
      <c r="O19" s="17">
        <f>IF(AND(H19&lt;=L19,H19&lt;=N19),"Already wins",IF(AND(I19&lt;=L19,I19&lt;=N19),"P1: No parent billing",IF(AND(J19&lt;=L19,J19&lt;=N19),"P2: Active compute",IF(AND(K19&lt;=L19,K19&lt;=N19),"P3: Waitpoints","Cannot win"))))</f>
        <v/>
      </c>
    </row>
    <row r="20">
      <c r="A20" s="13" t="inlineStr">
        <is>
          <t>Data fan-out</t>
        </is>
      </c>
      <c r="B20" s="32" t="inlineStr">
        <is>
          <t>Workflows</t>
        </is>
      </c>
      <c r="C20" s="14" t="n">
        <v>10000</v>
      </c>
      <c r="D20" s="15" t="n">
        <v>200</v>
      </c>
      <c r="E20" s="15" t="n">
        <v>90</v>
      </c>
      <c r="F20" s="15" t="n">
        <v>85</v>
      </c>
      <c r="G20" s="15" t="n">
        <v>121</v>
      </c>
      <c r="H20" s="16">
        <f>C20*D20*$B$5</f>
        <v/>
      </c>
      <c r="I20" s="16">
        <f>IF(G20=1,H20,C20*(E20+(D20-E20)*(G20-1)/G20)*$B$5)</f>
        <v/>
      </c>
      <c r="J20" s="16">
        <f>C20*E20*$B$5</f>
        <v/>
      </c>
      <c r="K20" s="16">
        <f>C20*F20*$B$5</f>
        <v/>
      </c>
      <c r="L20" s="16">
        <f>C20*F20*$B$6+C20*G20*$B$7</f>
        <v/>
      </c>
      <c r="M20" s="33">
        <f>MAX(CEILING(C20*E20/(730*3600*$B$9),1),CEILING((C20/730/3600)*D20*$B$11/($B$9*$B$10),1))</f>
        <v/>
      </c>
      <c r="N20" s="16">
        <f>M20*$B$8</f>
        <v/>
      </c>
      <c r="O20" s="17">
        <f>IF(AND(H20&lt;=L20,H20&lt;=N20),"Already wins",IF(AND(I20&lt;=L20,I20&lt;=N20),"P1: No parent billing",IF(AND(J20&lt;=L20,J20&lt;=N20),"P2: Active compute",IF(AND(K20&lt;=L20,K20&lt;=N20),"P3: Waitpoints","Cannot win"))))</f>
        <v/>
      </c>
    </row>
    <row r="21">
      <c r="A21" s="13" t="inlineStr">
        <is>
          <t>Long-running agent</t>
        </is>
      </c>
      <c r="B21" s="35" t="inlineStr">
        <is>
          <t>Trigger.dev</t>
        </is>
      </c>
      <c r="C21" s="14" t="n">
        <v>10000</v>
      </c>
      <c r="D21" s="15" t="n">
        <v>350</v>
      </c>
      <c r="E21" s="15" t="n">
        <v>15</v>
      </c>
      <c r="F21" s="15" t="n">
        <v>5</v>
      </c>
      <c r="G21" s="15" t="n">
        <v>10</v>
      </c>
      <c r="H21" s="16">
        <f>C21*D21*$B$5</f>
        <v/>
      </c>
      <c r="I21" s="16">
        <f>IF(G21=1,H21,C21*(E21+(D21-E21)*(G21-1)/G21)*$B$5)</f>
        <v/>
      </c>
      <c r="J21" s="16">
        <f>C21*E21*$B$5</f>
        <v/>
      </c>
      <c r="K21" s="16">
        <f>C21*F21*$B$5</f>
        <v/>
      </c>
      <c r="L21" s="16">
        <f>C21*F21*$B$6+C21*G21*$B$7</f>
        <v/>
      </c>
      <c r="M21" s="33">
        <f>MAX(CEILING(C21*E21/(730*3600*$B$9),1),CEILING((C21/730/3600)*D21*$B$11/($B$9*$B$10),1))</f>
        <v/>
      </c>
      <c r="N21" s="16">
        <f>M21*$B$8</f>
        <v/>
      </c>
      <c r="O21" s="17">
        <f>IF(AND(H21&lt;=L21,H21&lt;=N21),"Already wins",IF(AND(I21&lt;=L21,I21&lt;=N21),"P1: No parent billing",IF(AND(J21&lt;=L21,J21&lt;=N21),"P2: Active compute",IF(AND(K21&lt;=L21,K21&lt;=N21),"P3: Waitpoints","Cannot win"))))</f>
        <v/>
      </c>
    </row>
    <row r="23">
      <c r="A23" s="2" t="inlineStr">
        <is>
          <t>SCORECARD</t>
        </is>
      </c>
    </row>
    <row r="24">
      <c r="A24" s="3" t="inlineStr"/>
      <c r="B24" s="3" t="inlineStr">
        <is>
          <t>Workflows</t>
        </is>
      </c>
      <c r="C24" s="3" t="inlineStr">
        <is>
          <t>Trigger.dev</t>
        </is>
      </c>
      <c r="D24" s="3" t="inlineStr">
        <is>
          <t>BG Worker</t>
        </is>
      </c>
    </row>
    <row r="25">
      <c r="A25" s="9" t="inlineStr">
        <is>
          <t>Workflows wins (today)</t>
        </is>
      </c>
      <c r="B25" s="36">
        <f>COUNTIF(O15:O21,"Already wins")</f>
        <v/>
      </c>
    </row>
    <row r="26">
      <c r="A26" s="9" t="inlineStr">
        <is>
          <t>Workflows wins (after P1)</t>
        </is>
      </c>
      <c r="B26" s="36">
        <f>COUNTIF(O15:O21,"Already wins")+COUNTIF(O15:O21,"P1*")</f>
        <v/>
      </c>
    </row>
    <row r="27">
      <c r="A27" s="9" t="inlineStr">
        <is>
          <t>Workflows wins (after P1+P2)</t>
        </is>
      </c>
      <c r="B27" s="36">
        <f>COUNTIF(O15:O21,"Already wins")+COUNTIF(O15:O21,"P1*")+COUNTIF(O15:O21,"P2*")</f>
        <v/>
      </c>
    </row>
    <row r="28">
      <c r="A28" s="9" t="inlineStr">
        <is>
          <t>Workflows wins (after P1+P2+P3)</t>
        </is>
      </c>
      <c r="B28" s="36">
        <f>COUNTIF(O15:O21,"Already wins")+COUNTIF(O15:O21,"P1*")+COUNTIF(O15:O21,"P2*")+COUNTIF(O15:O21,"P3*")</f>
        <v/>
      </c>
    </row>
    <row r="29">
      <c r="A29" s="9" t="inlineStr">
        <is>
          <t>Cannot win</t>
        </is>
      </c>
      <c r="B29" s="37">
        <f>COUNTIF(O15:O21,"Cannot win")</f>
        <v/>
      </c>
    </row>
    <row r="31">
      <c r="A31" s="2" t="inlineStr">
        <is>
          <t>DEFINITIONS</t>
        </is>
      </c>
    </row>
    <row r="32">
      <c r="A32" s="8" t="inlineStr">
        <is>
          <t>P1 — No parent billing: Stop billing parent tasks while subtasks run. Billing change only. Ships in weeks.</t>
        </is>
      </c>
    </row>
    <row r="33">
      <c r="A33" s="8" t="inlineStr">
        <is>
          <t>P2 — Active compute only: Bill CPU-active time only across all tasks. Needs cgroup tracking. Ships in 1-2 months.</t>
        </is>
      </c>
    </row>
    <row r="34">
      <c r="A34" s="8" t="inlineStr">
        <is>
          <t>P3 — Waitpoints: Explicit SDK primitives (wait.for_result, wait.for_callback) that release containers.</t>
        </is>
      </c>
    </row>
    <row r="35">
      <c r="A35" s="8" t="inlineStr">
        <is>
          <t xml:space="preserve">     Needs checkpointing infra (CRIU). Ships in 3-6 months. Builds on P2.</t>
        </is>
      </c>
    </row>
    <row r="36">
      <c r="A36" s="8" t="inlineStr"/>
    </row>
    <row r="37">
      <c r="A37" s="8" t="inlineStr">
        <is>
          <t>Trigger.dev already has P2 + P3 (active compute billing with CRIU checkpointing).</t>
        </is>
      </c>
    </row>
    <row r="38">
      <c r="A38" s="8" t="inlineStr">
        <is>
          <t>Their cost column uses 'Waitpoint Compute' because their billing reflects both optimizations.</t>
        </is>
      </c>
    </row>
    <row r="39">
      <c r="A39" s="8" t="inlineStr"/>
    </row>
    <row r="40">
      <c r="A40" s="8" t="inlineStr">
        <is>
          <t>BG Worker is a flat monthly cost regardless of workload. Wins when per-use costs exceed the fixed rate.</t>
        </is>
      </c>
    </row>
    <row r="41">
      <c r="A41" s="8" t="inlineStr">
        <is>
          <t>Does NOT include managed retries, orchestration, observability, or burst handling.</t>
        </is>
      </c>
    </row>
    <row r="42">
      <c r="A42" s="8" t="inlineStr">
        <is>
          <t>'Project Needed to Win' shows the FIRST project that makes Workflows the cheapest of all three options.</t>
        </is>
      </c>
    </row>
  </sheetData>
  <mergeCells count="12">
    <mergeCell ref="A37:J37"/>
    <mergeCell ref="A32:J32"/>
    <mergeCell ref="A36:J36"/>
    <mergeCell ref="A40:J40"/>
    <mergeCell ref="A1:L1"/>
    <mergeCell ref="A39:J39"/>
    <mergeCell ref="A34:J34"/>
    <mergeCell ref="A35:J35"/>
    <mergeCell ref="A38:J38"/>
    <mergeCell ref="A42:J42"/>
    <mergeCell ref="A41:J41"/>
    <mergeCell ref="A33:J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Who Is Cheapest? — By Workload Type and Development Stage</t>
        </is>
      </c>
    </row>
    <row r="3">
      <c r="A3" s="2" t="inlineStr">
        <is>
          <t>ASSUMPTIONS</t>
        </is>
      </c>
    </row>
    <row r="4">
      <c r="A4" s="38" t="inlineStr">
        <is>
          <t>Workflows instance</t>
        </is>
      </c>
      <c r="B4" s="39" t="inlineStr">
        <is>
          <t>Standard (1 CPU, 2 GB) at $0.20/hr = $0.0000556/s</t>
        </is>
      </c>
    </row>
    <row r="5">
      <c r="A5" s="38" t="inlineStr">
        <is>
          <t>Trigger.dev instance</t>
        </is>
      </c>
      <c r="B5" s="39" t="inlineStr">
        <is>
          <t>Medium 1x (1 CPU, 2 GB) at $0.0000850/s + $0.000025/run invocation</t>
        </is>
      </c>
    </row>
    <row r="6">
      <c r="A6" s="38" t="inlineStr">
        <is>
          <t>BG Worker instance</t>
        </is>
      </c>
      <c r="B6" s="39" t="inlineStr">
        <is>
          <t>Pro (2 CPU, 4 GB) at $85/month, 1 instance</t>
        </is>
      </c>
    </row>
    <row r="7">
      <c r="A7" s="38" t="inlineStr">
        <is>
          <t>BG Worker capacity</t>
        </is>
      </c>
      <c r="B7" s="39" t="inlineStr">
        <is>
          <t>2 subprocess workers × 50 async slots = 100 concurrent requests</t>
        </is>
      </c>
    </row>
    <row r="8">
      <c r="A8" s="38" t="inlineStr">
        <is>
          <t>Traffic pattern</t>
        </is>
      </c>
      <c r="B8" s="39" t="inlineStr">
        <is>
          <t>3× peak-to-average ratio (business hours skew)</t>
        </is>
      </c>
    </row>
    <row r="9">
      <c r="A9" s="38" t="inlineStr">
        <is>
          <t>Trigger.dev billing</t>
        </is>
      </c>
      <c r="B9" s="39" t="inlineStr">
        <is>
          <t>Already has active compute billing AND waitpoints (CRIU checkpointing)</t>
        </is>
      </c>
    </row>
    <row r="10">
      <c r="A10" s="38" t="inlineStr">
        <is>
          <t>Workflows billing (today)</t>
        </is>
      </c>
      <c r="B10" s="39" t="inlineStr">
        <is>
          <t>Bills full wall-clock time including waits for subtasks and API calls</t>
        </is>
      </c>
    </row>
    <row r="11">
      <c r="A11" s="38" t="inlineStr">
        <is>
          <t>BG Worker features</t>
        </is>
      </c>
      <c r="B11" s="39" t="inlineStr">
        <is>
          <t>NO managed retries, orchestration, observability, or burst handling</t>
        </is>
      </c>
    </row>
    <row r="13">
      <c r="A13" s="2" t="inlineStr">
        <is>
          <t>WORKLOAD PROFILES (yellow = editable)</t>
        </is>
      </c>
    </row>
    <row r="14">
      <c r="A14" s="3" t="inlineStr">
        <is>
          <t>Task Type</t>
        </is>
      </c>
      <c r="B14" s="3" t="inlineStr">
        <is>
          <t>Monthly Volume</t>
        </is>
      </c>
      <c r="C14" s="3" t="inlineStr">
        <is>
          <t>Wall-Clock (s)</t>
        </is>
      </c>
      <c r="D14" s="3" t="inlineStr">
        <is>
          <t>Active Compute (s)</t>
        </is>
      </c>
      <c r="E14" s="3" t="inlineStr">
        <is>
          <t>Waitpoint Compute (s)</t>
        </is>
      </c>
      <c r="F14" s="3" t="inlineStr">
        <is>
          <t>Task Runs / Request</t>
        </is>
      </c>
      <c r="G14" s="3" t="inlineStr">
        <is>
          <t>Wait Ratio</t>
        </is>
      </c>
    </row>
    <row r="15">
      <c r="A15" s="13" t="inlineStr">
        <is>
          <t>Simple compute</t>
        </is>
      </c>
      <c r="B15" s="14" t="n">
        <v>500000</v>
      </c>
      <c r="C15" s="15" t="n">
        <v>1</v>
      </c>
      <c r="D15" s="15" t="n">
        <v>1</v>
      </c>
      <c r="E15" s="15" t="n">
        <v>1</v>
      </c>
      <c r="F15" s="15" t="n">
        <v>1</v>
      </c>
      <c r="G15" s="20">
        <f>1-D15/C15</f>
        <v/>
      </c>
    </row>
    <row r="16">
      <c r="A16" s="13" t="inlineStr">
        <is>
          <t>Image processing</t>
        </is>
      </c>
      <c r="B16" s="14" t="n">
        <v>200000</v>
      </c>
      <c r="C16" s="15" t="n">
        <v>5</v>
      </c>
      <c r="D16" s="15" t="n">
        <v>5</v>
      </c>
      <c r="E16" s="15" t="n">
        <v>5</v>
      </c>
      <c r="F16" s="15" t="n">
        <v>1</v>
      </c>
      <c r="G16" s="20">
        <f>1-D16/C16</f>
        <v/>
      </c>
    </row>
    <row r="17">
      <c r="A17" s="13" t="inlineStr">
        <is>
          <t>Single LLM call</t>
        </is>
      </c>
      <c r="B17" s="14" t="n">
        <v>300000</v>
      </c>
      <c r="C17" s="15" t="n">
        <v>8</v>
      </c>
      <c r="D17" s="15" t="n">
        <v>0.5</v>
      </c>
      <c r="E17" s="15" t="n">
        <v>0.3</v>
      </c>
      <c r="F17" s="15" t="n">
        <v>1</v>
      </c>
      <c r="G17" s="20">
        <f>1-D17/C17</f>
        <v/>
      </c>
    </row>
    <row r="18">
      <c r="A18" s="13" t="inlineStr">
        <is>
          <t>Multi-step LLM agent</t>
        </is>
      </c>
      <c r="B18" s="14" t="n">
        <v>100000</v>
      </c>
      <c r="C18" s="15" t="n">
        <v>35</v>
      </c>
      <c r="D18" s="15" t="n">
        <v>2.5</v>
      </c>
      <c r="E18" s="15" t="n">
        <v>1.5</v>
      </c>
      <c r="F18" s="15" t="n">
        <v>6</v>
      </c>
      <c r="G18" s="20">
        <f>1-D18/C18</f>
        <v/>
      </c>
    </row>
    <row r="19">
      <c r="A19" s="13" t="inlineStr">
        <is>
          <t>AI pipeline</t>
        </is>
      </c>
      <c r="B19" s="14" t="n">
        <v>50000</v>
      </c>
      <c r="C19" s="15" t="n">
        <v>90</v>
      </c>
      <c r="D19" s="15" t="n">
        <v>6</v>
      </c>
      <c r="E19" s="15" t="n">
        <v>3</v>
      </c>
      <c r="F19" s="15" t="n">
        <v>4</v>
      </c>
      <c r="G19" s="20">
        <f>1-D19/C19</f>
        <v/>
      </c>
    </row>
    <row r="20">
      <c r="A20" s="13" t="inlineStr">
        <is>
          <t>Data fan-out</t>
        </is>
      </c>
      <c r="B20" s="14" t="n">
        <v>10000</v>
      </c>
      <c r="C20" s="15" t="n">
        <v>200</v>
      </c>
      <c r="D20" s="15" t="n">
        <v>90</v>
      </c>
      <c r="E20" s="15" t="n">
        <v>85</v>
      </c>
      <c r="F20" s="15" t="n">
        <v>121</v>
      </c>
      <c r="G20" s="20">
        <f>1-D20/C20</f>
        <v/>
      </c>
    </row>
    <row r="21">
      <c r="A21" s="13" t="inlineStr">
        <is>
          <t>Long-running agent</t>
        </is>
      </c>
      <c r="B21" s="14" t="n">
        <v>10000</v>
      </c>
      <c r="C21" s="15" t="n">
        <v>350</v>
      </c>
      <c r="D21" s="15" t="n">
        <v>15</v>
      </c>
      <c r="E21" s="15" t="n">
        <v>5</v>
      </c>
      <c r="F21" s="15" t="n">
        <v>10</v>
      </c>
      <c r="G21" s="20">
        <f>1-D21/C21</f>
        <v/>
      </c>
    </row>
    <row r="23">
      <c r="A23" s="2" t="inlineStr">
        <is>
          <t>WHO IS CHEAPEST AT EACH STAGE</t>
        </is>
      </c>
    </row>
    <row r="24">
      <c r="A24" s="8" t="inlineStr">
        <is>
          <t>Each cell shows which product is cheapest for that workload at that development stage.</t>
        </is>
      </c>
    </row>
    <row r="25">
      <c r="A25" s="3" t="inlineStr">
        <is>
          <t>Task Type</t>
        </is>
      </c>
      <c r="B25" s="3" t="inlineStr">
        <is>
          <t>Today
(wall-clock billing)</t>
        </is>
      </c>
      <c r="C25" s="3" t="inlineStr">
        <is>
          <t>After P1
No parent billing</t>
        </is>
      </c>
      <c r="D25" s="3" t="inlineStr">
        <is>
          <t>After P2
Active compute only</t>
        </is>
      </c>
      <c r="E25" s="3" t="inlineStr">
        <is>
          <t>After P3
Waitpoints</t>
        </is>
      </c>
      <c r="F25" s="3" t="inlineStr">
        <is>
          <t>What Changes
at Winning Stage</t>
        </is>
      </c>
    </row>
    <row r="26">
      <c r="A26" s="13" t="inlineStr">
        <is>
          <t>Simple compute</t>
        </is>
      </c>
      <c r="B26" s="40">
        <f>IF(AND(B15*C15*0.0000556&lt;=B15*E15*0.0000850+B15*F15*0.000025,B15*C15*0.0000556&lt;=85),"Workflows",IF(AND(B15*E15*0.0000850+B15*F15*0.000025&lt;=B15*C15*0.0000556,B15*E15*0.0000850+B15*F15*0.000025&lt;=85),"Trigger.dev","BG Worker"))</f>
        <v/>
      </c>
      <c r="C26" s="40">
        <f>IF(AND(IF(F15=1,B15*C15*0.0000556,B15*(D15+(C15-D15)*(F15-1)/F15)*0.0000556)&lt;=B15*E15*0.0000850+B15*F15*0.000025,IF(F15=1,B15*C15*0.0000556,B15*(D15+(C15-D15)*(F15-1)/F15)*0.0000556)&lt;=85),"Workflows",IF(AND(B15*E15*0.0000850+B15*F15*0.000025&lt;=IF(F15=1,B15*C15*0.0000556,B15*(D15+(C15-D15)*(F15-1)/F15)*0.0000556),B15*E15*0.0000850+B15*F15*0.000025&lt;=85),"Trigger.dev","BG Worker"))</f>
        <v/>
      </c>
      <c r="D26" s="40">
        <f>IF(AND(B15*D15*0.0000556&lt;=B15*E15*0.0000850+B15*F15*0.000025,B15*D15*0.0000556&lt;=85),"Workflows",IF(AND(B15*E15*0.0000850+B15*F15*0.000025&lt;=B15*D15*0.0000556,B15*E15*0.0000850+B15*F15*0.000025&lt;=85),"Trigger.dev","BG Worker"))</f>
        <v/>
      </c>
      <c r="E26" s="40">
        <f>IF(AND(B15*E15*0.0000556&lt;=B15*E15*0.0000850+B15*F15*0.000025,B15*E15*0.0000556&lt;=85),"Workflows",IF(AND(B15*E15*0.0000850+B15*F15*0.000025&lt;=B15*E15*0.0000556,B15*E15*0.0000850+B15*F15*0.000025&lt;=85),"Trigger.dev","BG Worker"))</f>
        <v/>
      </c>
      <c r="F26" s="41">
        <f>IF(B26="Workflows","Already cheapest — no change needed",IF(AND(B26&lt;&gt;"Workflows",C26="Workflows"),"P1 stops parent wait billing → flips from "&amp;B26,IF(AND(C26&lt;&gt;"Workflows",D26="Workflows"),"P2 bills active compute only → flips from "&amp;C26,IF(AND(D26&lt;&gt;"Workflows",E26="Workflows"),"P3 waitpoints pause LLM billing → flips from "&amp;D26,"Workflows does not win even after P3"))))</f>
        <v/>
      </c>
    </row>
    <row r="27">
      <c r="A27" s="13" t="inlineStr">
        <is>
          <t>Image processing</t>
        </is>
      </c>
      <c r="B27" s="40">
        <f>IF(AND(B16*C16*0.0000556&lt;=B16*E16*0.0000850+B16*F16*0.000025,B16*C16*0.0000556&lt;=85),"Workflows",IF(AND(B16*E16*0.0000850+B16*F16*0.000025&lt;=B16*C16*0.0000556,B16*E16*0.0000850+B16*F16*0.000025&lt;=85),"Trigger.dev","BG Worker"))</f>
        <v/>
      </c>
      <c r="C27" s="40">
        <f>IF(AND(IF(F16=1,B16*C16*0.0000556,B16*(D16+(C16-D16)*(F16-1)/F16)*0.0000556)&lt;=B16*E16*0.0000850+B16*F16*0.000025,IF(F16=1,B16*C16*0.0000556,B16*(D16+(C16-D16)*(F16-1)/F16)*0.0000556)&lt;=85),"Workflows",IF(AND(B16*E16*0.0000850+B16*F16*0.000025&lt;=IF(F16=1,B16*C16*0.0000556,B16*(D16+(C16-D16)*(F16-1)/F16)*0.0000556),B16*E16*0.0000850+B16*F16*0.000025&lt;=85),"Trigger.dev","BG Worker"))</f>
        <v/>
      </c>
      <c r="D27" s="40">
        <f>IF(AND(B16*D16*0.0000556&lt;=B16*E16*0.0000850+B16*F16*0.000025,B16*D16*0.0000556&lt;=85),"Workflows",IF(AND(B16*E16*0.0000850+B16*F16*0.000025&lt;=B16*D16*0.0000556,B16*E16*0.0000850+B16*F16*0.000025&lt;=85),"Trigger.dev","BG Worker"))</f>
        <v/>
      </c>
      <c r="E27" s="40">
        <f>IF(AND(B16*E16*0.0000556&lt;=B16*E16*0.0000850+B16*F16*0.000025,B16*E16*0.0000556&lt;=85),"Workflows",IF(AND(B16*E16*0.0000850+B16*F16*0.000025&lt;=B16*E16*0.0000556,B16*E16*0.0000850+B16*F16*0.000025&lt;=85),"Trigger.dev","BG Worker"))</f>
        <v/>
      </c>
      <c r="F27" s="41">
        <f>IF(B27="Workflows","Already cheapest — no change needed",IF(AND(B27&lt;&gt;"Workflows",C27="Workflows"),"P1 stops parent wait billing → flips from "&amp;B27,IF(AND(C27&lt;&gt;"Workflows",D27="Workflows"),"P2 bills active compute only → flips from "&amp;C27,IF(AND(D27&lt;&gt;"Workflows",E27="Workflows"),"P3 waitpoints pause LLM billing → flips from "&amp;D27,"Workflows does not win even after P3"))))</f>
        <v/>
      </c>
    </row>
    <row r="28">
      <c r="A28" s="13" t="inlineStr">
        <is>
          <t>Single LLM call</t>
        </is>
      </c>
      <c r="B28" s="40">
        <f>IF(AND(B17*C17*0.0000556&lt;=B17*E17*0.0000850+B17*F17*0.000025,B17*C17*0.0000556&lt;=85),"Workflows",IF(AND(B17*E17*0.0000850+B17*F17*0.000025&lt;=B17*C17*0.0000556,B17*E17*0.0000850+B17*F17*0.000025&lt;=85),"Trigger.dev","BG Worker"))</f>
        <v/>
      </c>
      <c r="C28" s="40">
        <f>IF(AND(IF(F17=1,B17*C17*0.0000556,B17*(D17+(C17-D17)*(F17-1)/F17)*0.0000556)&lt;=B17*E17*0.0000850+B17*F17*0.000025,IF(F17=1,B17*C17*0.0000556,B17*(D17+(C17-D17)*(F17-1)/F17)*0.0000556)&lt;=85),"Workflows",IF(AND(B17*E17*0.0000850+B17*F17*0.000025&lt;=IF(F17=1,B17*C17*0.0000556,B17*(D17+(C17-D17)*(F17-1)/F17)*0.0000556),B17*E17*0.0000850+B17*F17*0.000025&lt;=85),"Trigger.dev","BG Worker"))</f>
        <v/>
      </c>
      <c r="D28" s="40">
        <f>IF(AND(B17*D17*0.0000556&lt;=B17*E17*0.0000850+B17*F17*0.000025,B17*D17*0.0000556&lt;=85),"Workflows",IF(AND(B17*E17*0.0000850+B17*F17*0.000025&lt;=B17*D17*0.0000556,B17*E17*0.0000850+B17*F17*0.000025&lt;=85),"Trigger.dev","BG Worker"))</f>
        <v/>
      </c>
      <c r="E28" s="40">
        <f>IF(AND(B17*E17*0.0000556&lt;=B17*E17*0.0000850+B17*F17*0.000025,B17*E17*0.0000556&lt;=85),"Workflows",IF(AND(B17*E17*0.0000850+B17*F17*0.000025&lt;=B17*E17*0.0000556,B17*E17*0.0000850+B17*F17*0.000025&lt;=85),"Trigger.dev","BG Worker"))</f>
        <v/>
      </c>
      <c r="F28" s="41">
        <f>IF(B28="Workflows","Already cheapest — no change needed",IF(AND(B28&lt;&gt;"Workflows",C28="Workflows"),"P1 stops parent wait billing → flips from "&amp;B28,IF(AND(C28&lt;&gt;"Workflows",D28="Workflows"),"P2 bills active compute only → flips from "&amp;C28,IF(AND(D28&lt;&gt;"Workflows",E28="Workflows"),"P3 waitpoints pause LLM billing → flips from "&amp;D28,"Workflows does not win even after P3"))))</f>
        <v/>
      </c>
    </row>
    <row r="29">
      <c r="A29" s="13" t="inlineStr">
        <is>
          <t>Multi-step LLM agent</t>
        </is>
      </c>
      <c r="B29" s="40">
        <f>IF(AND(B18*C18*0.0000556&lt;=B18*E18*0.0000850+B18*F18*0.000025,B18*C18*0.0000556&lt;=85),"Workflows",IF(AND(B18*E18*0.0000850+B18*F18*0.000025&lt;=B18*C18*0.0000556,B18*E18*0.0000850+B18*F18*0.000025&lt;=85),"Trigger.dev","BG Worker"))</f>
        <v/>
      </c>
      <c r="C29" s="40">
        <f>IF(AND(IF(F18=1,B18*C18*0.0000556,B18*(D18+(C18-D18)*(F18-1)/F18)*0.0000556)&lt;=B18*E18*0.0000850+B18*F18*0.000025,IF(F18=1,B18*C18*0.0000556,B18*(D18+(C18-D18)*(F18-1)/F18)*0.0000556)&lt;=85),"Workflows",IF(AND(B18*E18*0.0000850+B18*F18*0.000025&lt;=IF(F18=1,B18*C18*0.0000556,B18*(D18+(C18-D18)*(F18-1)/F18)*0.0000556),B18*E18*0.0000850+B18*F18*0.000025&lt;=85),"Trigger.dev","BG Worker"))</f>
        <v/>
      </c>
      <c r="D29" s="40">
        <f>IF(AND(B18*D18*0.0000556&lt;=B18*E18*0.0000850+B18*F18*0.000025,B18*D18*0.0000556&lt;=85),"Workflows",IF(AND(B18*E18*0.0000850+B18*F18*0.000025&lt;=B18*D18*0.0000556,B18*E18*0.0000850+B18*F18*0.000025&lt;=85),"Trigger.dev","BG Worker"))</f>
        <v/>
      </c>
      <c r="E29" s="40">
        <f>IF(AND(B18*E18*0.0000556&lt;=B18*E18*0.0000850+B18*F18*0.000025,B18*E18*0.0000556&lt;=85),"Workflows",IF(AND(B18*E18*0.0000850+B18*F18*0.000025&lt;=B18*E18*0.0000556,B18*E18*0.0000850+B18*F18*0.000025&lt;=85),"Trigger.dev","BG Worker"))</f>
        <v/>
      </c>
      <c r="F29" s="41">
        <f>IF(B29="Workflows","Already cheapest — no change needed",IF(AND(B29&lt;&gt;"Workflows",C29="Workflows"),"P1 stops parent wait billing → flips from "&amp;B29,IF(AND(C29&lt;&gt;"Workflows",D29="Workflows"),"P2 bills active compute only → flips from "&amp;C29,IF(AND(D29&lt;&gt;"Workflows",E29="Workflows"),"P3 waitpoints pause LLM billing → flips from "&amp;D29,"Workflows does not win even after P3"))))</f>
        <v/>
      </c>
    </row>
    <row r="30">
      <c r="A30" s="13" t="inlineStr">
        <is>
          <t>AI pipeline</t>
        </is>
      </c>
      <c r="B30" s="40">
        <f>IF(AND(B19*C19*0.0000556&lt;=B19*E19*0.0000850+B19*F19*0.000025,B19*C19*0.0000556&lt;=85),"Workflows",IF(AND(B19*E19*0.0000850+B19*F19*0.000025&lt;=B19*C19*0.0000556,B19*E19*0.0000850+B19*F19*0.000025&lt;=85),"Trigger.dev","BG Worker"))</f>
        <v/>
      </c>
      <c r="C30" s="40">
        <f>IF(AND(IF(F19=1,B19*C19*0.0000556,B19*(D19+(C19-D19)*(F19-1)/F19)*0.0000556)&lt;=B19*E19*0.0000850+B19*F19*0.000025,IF(F19=1,B19*C19*0.0000556,B19*(D19+(C19-D19)*(F19-1)/F19)*0.0000556)&lt;=85),"Workflows",IF(AND(B19*E19*0.0000850+B19*F19*0.000025&lt;=IF(F19=1,B19*C19*0.0000556,B19*(D19+(C19-D19)*(F19-1)/F19)*0.0000556),B19*E19*0.0000850+B19*F19*0.000025&lt;=85),"Trigger.dev","BG Worker"))</f>
        <v/>
      </c>
      <c r="D30" s="40">
        <f>IF(AND(B19*D19*0.0000556&lt;=B19*E19*0.0000850+B19*F19*0.000025,B19*D19*0.0000556&lt;=85),"Workflows",IF(AND(B19*E19*0.0000850+B19*F19*0.000025&lt;=B19*D19*0.0000556,B19*E19*0.0000850+B19*F19*0.000025&lt;=85),"Trigger.dev","BG Worker"))</f>
        <v/>
      </c>
      <c r="E30" s="40">
        <f>IF(AND(B19*E19*0.0000556&lt;=B19*E19*0.0000850+B19*F19*0.000025,B19*E19*0.0000556&lt;=85),"Workflows",IF(AND(B19*E19*0.0000850+B19*F19*0.000025&lt;=B19*E19*0.0000556,B19*E19*0.0000850+B19*F19*0.000025&lt;=85),"Trigger.dev","BG Worker"))</f>
        <v/>
      </c>
      <c r="F30" s="41">
        <f>IF(B30="Workflows","Already cheapest — no change needed",IF(AND(B30&lt;&gt;"Workflows",C30="Workflows"),"P1 stops parent wait billing → flips from "&amp;B30,IF(AND(C30&lt;&gt;"Workflows",D30="Workflows"),"P2 bills active compute only → flips from "&amp;C30,IF(AND(D30&lt;&gt;"Workflows",E30="Workflows"),"P3 waitpoints pause LLM billing → flips from "&amp;D30,"Workflows does not win even after P3"))))</f>
        <v/>
      </c>
    </row>
    <row r="31">
      <c r="A31" s="13" t="inlineStr">
        <is>
          <t>Data fan-out</t>
        </is>
      </c>
      <c r="B31" s="40">
        <f>IF(AND(B20*C20*0.0000556&lt;=B20*E20*0.0000850+B20*F20*0.000025,B20*C20*0.0000556&lt;=85),"Workflows",IF(AND(B20*E20*0.0000850+B20*F20*0.000025&lt;=B20*C20*0.0000556,B20*E20*0.0000850+B20*F20*0.000025&lt;=85),"Trigger.dev","BG Worker"))</f>
        <v/>
      </c>
      <c r="C31" s="40">
        <f>IF(AND(IF(F20=1,B20*C20*0.0000556,B20*(D20+(C20-D20)*(F20-1)/F20)*0.0000556)&lt;=B20*E20*0.0000850+B20*F20*0.000025,IF(F20=1,B20*C20*0.0000556,B20*(D20+(C20-D20)*(F20-1)/F20)*0.0000556)&lt;=85),"Workflows",IF(AND(B20*E20*0.0000850+B20*F20*0.000025&lt;=IF(F20=1,B20*C20*0.0000556,B20*(D20+(C20-D20)*(F20-1)/F20)*0.0000556),B20*E20*0.0000850+B20*F20*0.000025&lt;=85),"Trigger.dev","BG Worker"))</f>
        <v/>
      </c>
      <c r="D31" s="40">
        <f>IF(AND(B20*D20*0.0000556&lt;=B20*E20*0.0000850+B20*F20*0.000025,B20*D20*0.0000556&lt;=85),"Workflows",IF(AND(B20*E20*0.0000850+B20*F20*0.000025&lt;=B20*D20*0.0000556,B20*E20*0.0000850+B20*F20*0.000025&lt;=85),"Trigger.dev","BG Worker"))</f>
        <v/>
      </c>
      <c r="E31" s="40">
        <f>IF(AND(B20*E20*0.0000556&lt;=B20*E20*0.0000850+B20*F20*0.000025,B20*E20*0.0000556&lt;=85),"Workflows",IF(AND(B20*E20*0.0000850+B20*F20*0.000025&lt;=B20*E20*0.0000556,B20*E20*0.0000850+B20*F20*0.000025&lt;=85),"Trigger.dev","BG Worker"))</f>
        <v/>
      </c>
      <c r="F31" s="41">
        <f>IF(B31="Workflows","Already cheapest — no change needed",IF(AND(B31&lt;&gt;"Workflows",C31="Workflows"),"P1 stops parent wait billing → flips from "&amp;B31,IF(AND(C31&lt;&gt;"Workflows",D31="Workflows"),"P2 bills active compute only → flips from "&amp;C31,IF(AND(D31&lt;&gt;"Workflows",E31="Workflows"),"P3 waitpoints pause LLM billing → flips from "&amp;D31,"Workflows does not win even after P3"))))</f>
        <v/>
      </c>
    </row>
    <row r="32">
      <c r="A32" s="13" t="inlineStr">
        <is>
          <t>Long-running agent</t>
        </is>
      </c>
      <c r="B32" s="40">
        <f>IF(AND(B21*C21*0.0000556&lt;=B21*E21*0.0000850+B21*F21*0.000025,B21*C21*0.0000556&lt;=85),"Workflows",IF(AND(B21*E21*0.0000850+B21*F21*0.000025&lt;=B21*C21*0.0000556,B21*E21*0.0000850+B21*F21*0.000025&lt;=85),"Trigger.dev","BG Worker"))</f>
        <v/>
      </c>
      <c r="C32" s="40">
        <f>IF(AND(IF(F21=1,B21*C21*0.0000556,B21*(D21+(C21-D21)*(F21-1)/F21)*0.0000556)&lt;=B21*E21*0.0000850+B21*F21*0.000025,IF(F21=1,B21*C21*0.0000556,B21*(D21+(C21-D21)*(F21-1)/F21)*0.0000556)&lt;=85),"Workflows",IF(AND(B21*E21*0.0000850+B21*F21*0.000025&lt;=IF(F21=1,B21*C21*0.0000556,B21*(D21+(C21-D21)*(F21-1)/F21)*0.0000556),B21*E21*0.0000850+B21*F21*0.000025&lt;=85),"Trigger.dev","BG Worker"))</f>
        <v/>
      </c>
      <c r="D32" s="40">
        <f>IF(AND(B21*D21*0.0000556&lt;=B21*E21*0.0000850+B21*F21*0.000025,B21*D21*0.0000556&lt;=85),"Workflows",IF(AND(B21*E21*0.0000850+B21*F21*0.000025&lt;=B21*D21*0.0000556,B21*E21*0.0000850+B21*F21*0.000025&lt;=85),"Trigger.dev","BG Worker"))</f>
        <v/>
      </c>
      <c r="E32" s="40">
        <f>IF(AND(B21*E21*0.0000556&lt;=B21*E21*0.0000850+B21*F21*0.000025,B21*E21*0.0000556&lt;=85),"Workflows",IF(AND(B21*E21*0.0000850+B21*F21*0.000025&lt;=B21*E21*0.0000556,B21*E21*0.0000850+B21*F21*0.000025&lt;=85),"Trigger.dev","BG Worker"))</f>
        <v/>
      </c>
      <c r="F32" s="41">
        <f>IF(B32="Workflows","Already cheapest — no change needed",IF(AND(B32&lt;&gt;"Workflows",C32="Workflows"),"P1 stops parent wait billing → flips from "&amp;B32,IF(AND(C32&lt;&gt;"Workflows",D32="Workflows"),"P2 bills active compute only → flips from "&amp;C32,IF(AND(D32&lt;&gt;"Workflows",E32="Workflows"),"P3 waitpoints pause LLM billing → flips from "&amp;D32,"Workflows does not win even after P3"))))</f>
        <v/>
      </c>
    </row>
    <row r="34">
      <c r="A34" s="2" t="inlineStr">
        <is>
          <t>SCORECARD — Workflows wins by stage</t>
        </is>
      </c>
    </row>
    <row r="35">
      <c r="A35" s="3" t="inlineStr">
        <is>
          <t>Stage</t>
        </is>
      </c>
      <c r="B35" s="3" t="inlineStr">
        <is>
          <t>Workflows Wins</t>
        </is>
      </c>
      <c r="C35" s="3" t="inlineStr">
        <is>
          <t>Trigger.dev Wins</t>
        </is>
      </c>
      <c r="D35" s="3" t="inlineStr">
        <is>
          <t>BG Worker Wins</t>
        </is>
      </c>
    </row>
    <row r="36">
      <c r="A36" s="9" t="inlineStr">
        <is>
          <t>Today</t>
        </is>
      </c>
      <c r="B36" s="36">
        <f>COUNTIF(B26:B32,"Workflows")</f>
        <v/>
      </c>
      <c r="C36" s="36">
        <f>COUNTIF(B26:B32,"Trigger.dev")</f>
        <v/>
      </c>
      <c r="D36" s="36">
        <f>COUNTIF(B26:B32,"BG Worker")</f>
        <v/>
      </c>
    </row>
    <row r="37">
      <c r="A37" s="9" t="inlineStr">
        <is>
          <t>After P1: No parent billing</t>
        </is>
      </c>
      <c r="B37" s="36">
        <f>COUNTIF(C26:C32,"Workflows")</f>
        <v/>
      </c>
      <c r="C37" s="36">
        <f>COUNTIF(C26:C32,"Trigger.dev")</f>
        <v/>
      </c>
      <c r="D37" s="36">
        <f>COUNTIF(C26:C32,"BG Worker")</f>
        <v/>
      </c>
    </row>
    <row r="38">
      <c r="A38" s="9" t="inlineStr">
        <is>
          <t>After P2: Active compute only</t>
        </is>
      </c>
      <c r="B38" s="36">
        <f>COUNTIF(D26:D32,"Workflows")</f>
        <v/>
      </c>
      <c r="C38" s="36">
        <f>COUNTIF(D26:D32,"Trigger.dev")</f>
        <v/>
      </c>
      <c r="D38" s="36">
        <f>COUNTIF(D26:D32,"BG Worker")</f>
        <v/>
      </c>
    </row>
    <row r="39">
      <c r="A39" s="9" t="inlineStr">
        <is>
          <t>After P3: Waitpoints</t>
        </is>
      </c>
      <c r="B39" s="36">
        <f>COUNTIF(E26:E32,"Workflows")</f>
        <v/>
      </c>
      <c r="C39" s="36">
        <f>COUNTIF(E26:E32,"Trigger.dev")</f>
        <v/>
      </c>
      <c r="D39" s="36">
        <f>COUNTIF(E26:E32,"BG Worker")</f>
        <v/>
      </c>
    </row>
    <row r="42">
      <c r="A42" s="2" t="inlineStr">
        <is>
          <t>PROJECT DEFINITIONS</t>
        </is>
      </c>
    </row>
    <row r="43">
      <c r="A43" s="38" t="inlineStr">
        <is>
          <t>P1 — No parent billing</t>
        </is>
      </c>
      <c r="B43" s="39" t="inlineStr">
        <is>
          <t>Stop billing parent tasks while awaiting subtasks. Billing change only. No SDK, runtime, or customer code changes. Ships in weeks.</t>
        </is>
      </c>
    </row>
    <row r="44">
      <c r="A44" s="38" t="inlineStr">
        <is>
          <t>P2 — Active compute only</t>
        </is>
      </c>
      <c r="B44" s="39" t="inlineStr">
        <is>
          <t>Bill CPU-active time across ALL tasks (parent + subtasks). Requires cgroup CPU tracking in runtime. No customer code changes. Ships in 1-2 months.</t>
        </is>
      </c>
    </row>
    <row r="45">
      <c r="A45" s="38" t="inlineStr">
        <is>
          <t>P3 — Waitpoints</t>
        </is>
      </c>
      <c r="B45" s="39" t="inlineStr">
        <is>
          <t>Explicit SDK primitives (wait.for_result, wait.for_callback) that release containers during long LLM/API calls. Requires CRIU checkpointing infrastructure. Customer wraps API calls in wait hooks. Ships in 3-6 months. Builds on P2.</t>
        </is>
      </c>
    </row>
  </sheetData>
  <mergeCells count="13">
    <mergeCell ref="B4:F4"/>
    <mergeCell ref="A24:F24"/>
    <mergeCell ref="B43:F43"/>
    <mergeCell ref="B44:F44"/>
    <mergeCell ref="B7:F7"/>
    <mergeCell ref="B6:F6"/>
    <mergeCell ref="B10:F10"/>
    <mergeCell ref="B11:F11"/>
    <mergeCell ref="B5:F5"/>
    <mergeCell ref="B45:F45"/>
    <mergeCell ref="A1:H1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2026-04-12T18:54:47Z</dcterms:created>
  <dcterms:modified xsi:type="dcterms:W3CDTF">2026-04-12T18:54:47Z</dcterms:modified>
</cp:coreProperties>
</file>